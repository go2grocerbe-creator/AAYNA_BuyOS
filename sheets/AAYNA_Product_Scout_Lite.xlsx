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Tracker" sheetId="1" state="visible" r:id="rId1"/>
    <sheet name="Dashboard" sheetId="2" state="visible" r:id="rId2"/>
    <sheet name="Claude Scoring Prompt" sheetId="3" state="visible" r:id="rId3"/>
    <sheet name="Settings" sheetId="4" state="visible" r:id="rId4"/>
    <sheet name="Dropdown Lists" sheetId="5" state="visible" r:id="rId5"/>
    <sheet name="Instructions" sheetId="6" state="visible" r:id="rId6"/>
  </sheets>
  <definedNames>
    <definedName name="USD_BDT">Settings!$B$5</definedName>
    <definedName name="RMB_BDT">Settings!$B$6</definedName>
    <definedName name="CUSTOMS_PCT">Settings!$B$7</definedName>
    <definedName name="MISC_FEE">Settings!$B$8</definedName>
    <definedName name="MARKUP_PCT">Settings!$B$9</definedName>
    <definedName name="MAX_PRICE">Settings!$B$10</definedName>
    <definedName name="HARD_REJECT_PRICE">Settings!$B$11</definedName>
    <definedName name="W_FEMININE">Settings!$B$12</definedName>
    <definedName name="W_TREND">Settings!$B$13</definedName>
    <definedName name="W_AESTHETIC">Settings!$B$14</definedName>
    <definedName name="W_STYLE">Settings!$B$15</definedName>
    <definedName name="W_LIGHT">Settings!$B$16</definedName>
    <definedName name="W_REELS">Settings!$B$17</definedName>
    <definedName name="W_GIFT">Settings!$B$18</definedName>
    <definedName name="W_PRICEFIT">Settings!$B$19</definedName>
    <definedName name="W_DEMAND">Settings!$B$20</definedName>
    <definedName name="W_QUALITY">Settings!$B$21</definedName>
    <definedName name="BUY_THRESHOLD">Settings!$B$22</definedName>
    <definedName name="MAYBE_THRESHOLD">Settings!$B$23</definedName>
    <definedName name="LIST_PLATFORM">'Dropdown Lists'!$A$2:$A$7</definedName>
    <definedName name="LIST_CATEGORY">'Dropdown Lists'!$B$2:$B$13</definedName>
    <definedName name="LIST_CURRENCY">'Dropdown Lists'!$C$2:$C$4</definedName>
    <definedName name="LIST_DECISION">'Dropdown Lists'!$D$2:$D$5</definedName>
    <definedName name="LIST_APPROVAL">'Dropdown Lists'!$E$2:$E$5</definedName>
    <definedName name="LIST_SCORE">'Dropdown Lists'!$F$2:$F$6</definedName>
  </definedNames>
  <calcPr calcId="124519" fullCalcOnLoad="1"/>
</workbook>
</file>

<file path=xl/styles.xml><?xml version="1.0" encoding="utf-8"?>
<styleSheet xmlns="http://schemas.openxmlformats.org/spreadsheetml/2006/main">
  <numFmts count="2">
    <numFmt numFmtId="164" formatCode="yyyy-mm-dd"/>
    <numFmt numFmtId="165" formatCode="#,##0 &quot;BDT&quot;"/>
  </numFmts>
  <fonts count="10">
    <font>
      <name val="Calibri"/>
      <family val="2"/>
      <color theme="1"/>
      <sz val="11"/>
      <scheme val="minor"/>
    </font>
    <font>
      <b val="1"/>
      <color rgb="003B2F2A"/>
      <sz val="14"/>
    </font>
    <font>
      <i val="1"/>
      <color rgb="006B5B53"/>
      <sz val="9"/>
    </font>
    <font>
      <b val="1"/>
      <color rgb="00FFFFFF"/>
      <sz val="12"/>
    </font>
    <font>
      <b val="1"/>
      <color rgb="003B2F2A"/>
    </font>
    <font>
      <i val="1"/>
      <color rgb="006B5B53"/>
      <sz val="10"/>
    </font>
    <font>
      <b val="1"/>
      <color rgb="00FFFFFF"/>
      <sz val="10"/>
    </font>
    <font>
      <b val="1"/>
      <color rgb="00FFFFFF"/>
      <sz val="9"/>
    </font>
    <font>
      <b val="1"/>
      <color rgb="003B2F2A"/>
      <sz val="13"/>
    </font>
    <font>
      <name val="Consolas"/>
      <color rgb="003B2F2A"/>
      <sz val="10"/>
    </font>
  </fonts>
  <fills count="10">
    <fill>
      <patternFill/>
    </fill>
    <fill>
      <patternFill patternType="gray125"/>
    </fill>
    <fill>
      <patternFill patternType="solid">
        <fgColor rgb="00C98B95"/>
      </patternFill>
    </fill>
    <fill>
      <patternFill patternType="solid">
        <fgColor rgb="00B89B5E"/>
      </patternFill>
    </fill>
    <fill>
      <patternFill patternType="solid">
        <fgColor rgb="008FA98E"/>
      </patternFill>
    </fill>
    <fill>
      <patternFill patternType="solid">
        <fgColor rgb="003B2F2A"/>
      </patternFill>
    </fill>
    <fill>
      <patternFill patternType="solid">
        <fgColor rgb="006B4F4F"/>
      </patternFill>
    </fill>
    <fill>
      <patternFill patternType="solid">
        <fgColor rgb="00BFBFBF"/>
      </patternFill>
    </fill>
    <fill>
      <patternFill patternType="solid">
        <fgColor rgb="00FBF7F2"/>
      </patternFill>
    </fill>
    <fill>
      <patternFill patternType="solid">
        <fgColor rgb="00EFD9DC"/>
      </patternFill>
    </fill>
  </fills>
  <borders count="3">
    <border>
      <left/>
      <right/>
      <top/>
      <bottom/>
      <diagonal/>
    </border>
    <border>
      <left style="thin">
        <color rgb="00D9CDC3"/>
      </left>
      <right style="thin">
        <color rgb="00D9CDC3"/>
      </right>
      <top style="thin">
        <color rgb="00D9CDC3"/>
      </top>
      <bottom style="thin">
        <color rgb="00D9CDC3"/>
      </bottom>
    </border>
    <border>
      <left style="medium">
        <color rgb="00B89B5E"/>
      </left>
      <right style="medium">
        <color rgb="00B89B5E"/>
      </right>
      <top style="medium">
        <color rgb="00B89B5E"/>
      </top>
      <bottom style="medium">
        <color rgb="00B89B5E"/>
      </bottom>
    </border>
  </borders>
  <cellStyleXfs count="1">
    <xf numFmtId="0" fontId="0" fillId="0" borderId="0"/>
  </cellStyleXfs>
  <cellXfs count="32">
    <xf numFmtId="0" fontId="0" fillId="0" borderId="0" pivotButton="0" quotePrefix="0" xfId="0"/>
    <xf numFmtId="0" fontId="1"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7" fillId="7" borderId="0" applyAlignment="1" pivotButton="0" quotePrefix="0" xfId="0">
      <alignment horizontal="center" vertical="center"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9" fontId="0" fillId="0" borderId="1" applyAlignment="1" pivotButton="0" quotePrefix="0" xfId="0">
      <alignment vertical="center"/>
    </xf>
    <xf numFmtId="1" fontId="0" fillId="0" borderId="1" applyAlignment="1" pivotButton="0" quotePrefix="0" xfId="0">
      <alignment vertical="center"/>
    </xf>
    <xf numFmtId="0" fontId="0" fillId="8" borderId="1" applyAlignment="1" pivotButton="0" quotePrefix="0" xfId="0">
      <alignment vertical="center"/>
    </xf>
    <xf numFmtId="164" fontId="0" fillId="8" borderId="1" applyAlignment="1" pivotButton="0" quotePrefix="0" xfId="0">
      <alignment vertical="center"/>
    </xf>
    <xf numFmtId="165" fontId="0" fillId="8" borderId="1" applyAlignment="1" pivotButton="0" quotePrefix="0" xfId="0">
      <alignment vertical="center"/>
    </xf>
    <xf numFmtId="9" fontId="0" fillId="8" borderId="1" applyAlignment="1" pivotButton="0" quotePrefix="0" xfId="0">
      <alignment vertical="center"/>
    </xf>
    <xf numFmtId="1" fontId="0" fillId="8" borderId="1" applyAlignment="1" pivotButton="0" quotePrefix="0" xfId="0">
      <alignment vertical="center"/>
    </xf>
    <xf numFmtId="0" fontId="2" fillId="0" borderId="0" pivotButton="0" quotePrefix="0" xfId="0"/>
    <xf numFmtId="0" fontId="3" fillId="2" borderId="0" pivotButton="0" quotePrefix="0" xfId="0"/>
    <xf numFmtId="0" fontId="4" fillId="0" borderId="0" pivotButton="0" quotePrefix="0" xfId="0"/>
    <xf numFmtId="0" fontId="8" fillId="0" borderId="0" applyAlignment="1" pivotButton="0" quotePrefix="0" xfId="0">
      <alignment horizontal="center"/>
    </xf>
    <xf numFmtId="0" fontId="4" fillId="9" borderId="0"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horizontal="left"/>
    </xf>
    <xf numFmtId="1" fontId="0" fillId="0" borderId="1" applyAlignment="1" pivotButton="0" quotePrefix="0" xfId="0">
      <alignment horizontal="center"/>
    </xf>
    <xf numFmtId="165" fontId="0" fillId="0" borderId="1" applyAlignment="1" pivotButton="0" quotePrefix="0" xfId="0">
      <alignment horizontal="left"/>
    </xf>
    <xf numFmtId="0" fontId="2" fillId="0" borderId="0" applyAlignment="1" pivotButton="0" quotePrefix="0" xfId="0">
      <alignment vertical="top" wrapText="1"/>
    </xf>
    <xf numFmtId="0" fontId="9" fillId="8" borderId="2"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9">
    <dxf>
      <font>
        <b val="1"/>
        <color rgb="001E7B34"/>
      </font>
      <fill>
        <patternFill patternType="solid">
          <fgColor rgb="00C6EFCE"/>
        </patternFill>
      </fill>
    </dxf>
    <dxf>
      <font>
        <b val="1"/>
        <color rgb="009C7A00"/>
      </font>
      <fill>
        <patternFill patternType="solid">
          <fgColor rgb="00FFF3C4"/>
        </patternFill>
      </fill>
    </dxf>
    <dxf>
      <font>
        <b val="1"/>
        <color rgb="00B2650A"/>
      </font>
      <fill>
        <patternFill patternType="solid">
          <fgColor rgb="00FCE4C4"/>
        </patternFill>
      </fill>
    </dxf>
    <dxf>
      <font>
        <b val="1"/>
        <color rgb="00B23A32"/>
      </font>
      <fill>
        <patternFill patternType="solid">
          <fgColor rgb="00F8CFCB"/>
        </patternFill>
      </fill>
    </dxf>
    <dxf>
      <font>
        <b val="1"/>
        <color rgb="00B23A32"/>
      </font>
    </dxf>
    <dxf>
      <font>
        <b val="1"/>
        <color rgb="00B2650A"/>
      </font>
    </dxf>
    <dxf>
      <fill>
        <patternFill patternType="solid">
          <fgColor rgb="00C6EFCE"/>
        </patternFill>
      </fill>
    </dxf>
    <dxf>
      <fill>
        <patternFill patternType="solid">
          <fgColor rgb="00F8CFCB"/>
        </patternFill>
      </fill>
    </dxf>
    <dxf>
      <fill>
        <patternFill patternType="solid">
          <fgColor rgb="00FFF3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98B95"/>
    <outlinePr summaryBelow="1" summaryRight="1"/>
    <pageSetUpPr/>
  </sheetPr>
  <dimension ref="A1:AN4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6" customWidth="1" min="3" max="3"/>
    <col width="22" customWidth="1" min="4" max="4"/>
    <col width="16" customWidth="1" min="5" max="5"/>
    <col width="14" customWidth="1" min="6" max="6"/>
    <col width="22" customWidth="1" min="7" max="7"/>
    <col width="18" customWidth="1" min="8" max="8"/>
    <col width="14" customWidth="1" min="9" max="9"/>
    <col width="12" customWidth="1" min="10" max="10"/>
    <col width="13" customWidth="1" min="11" max="11"/>
    <col width="14" customWidth="1" min="12" max="12"/>
    <col width="12" customWidth="1" min="13" max="13"/>
    <col width="13" customWidth="1" min="14" max="14"/>
    <col width="15" customWidth="1" min="15" max="15"/>
    <col width="16" customWidth="1" min="16" max="16"/>
    <col width="14" customWidth="1" min="17" max="17"/>
    <col width="12" customWidth="1" min="18" max="18"/>
    <col width="12" customWidth="1" min="19" max="19"/>
    <col width="11" customWidth="1" min="20" max="20"/>
    <col width="14" customWidth="1" min="21" max="21"/>
    <col width="12" customWidth="1" min="22" max="22"/>
    <col width="12" customWidth="1" min="23" max="23"/>
    <col width="14" customWidth="1" min="24" max="24"/>
    <col width="12" customWidth="1" min="25" max="25"/>
    <col width="12" customWidth="1" min="26" max="26"/>
    <col width="12" customWidth="1" min="27" max="27"/>
    <col width="12" customWidth="1" min="28" max="28"/>
    <col width="13" customWidth="1" min="29" max="29"/>
    <col width="13" customWidth="1" min="30" max="30"/>
    <col width="28" customWidth="1" min="31" max="31"/>
    <col width="30" customWidth="1" min="32" max="32"/>
    <col width="13" customWidth="1" min="33" max="33"/>
    <col width="14" customWidth="1" min="34" max="34"/>
    <col width="13" customWidth="1" min="35" max="35"/>
    <col hidden="1" width="10" customWidth="1" min="36" max="36"/>
    <col hidden="1" width="10" customWidth="1" min="37" max="37"/>
    <col hidden="1" width="10" customWidth="1" min="38" max="38"/>
    <col hidden="1" width="10" customWidth="1" min="39" max="39"/>
    <col hidden="1" width="10" customWidth="1" min="40" max="40"/>
  </cols>
  <sheetData>
    <row r="1">
      <c r="A1" s="1" t="inlineStr">
        <is>
          <t>AAYNA Product Scout Lite — Product Tracker</t>
        </is>
      </c>
      <c r="I1" s="2" t="inlineStr">
        <is>
          <t>Reflect your everyday style — sourcing decisions, made together.</t>
        </is>
      </c>
    </row>
    <row r="2" ht="42" customHeight="1">
      <c r="A2" s="3" t="inlineStr">
        <is>
          <t>SKU</t>
        </is>
      </c>
      <c r="B2" s="3" t="inlineStr">
        <is>
          <t>Date Added</t>
        </is>
      </c>
      <c r="C2" s="3" t="inlineStr">
        <is>
          <t>Product Name</t>
        </is>
      </c>
      <c r="D2" s="3" t="inlineStr">
        <is>
          <t>Product Image/Link</t>
        </is>
      </c>
      <c r="E2" s="3" t="inlineStr">
        <is>
          <t>Category</t>
        </is>
      </c>
      <c r="F2" s="3" t="inlineStr">
        <is>
          <t>Source Platform</t>
        </is>
      </c>
      <c r="G2" s="3" t="inlineStr">
        <is>
          <t>Source URL</t>
        </is>
      </c>
      <c r="H2" s="3" t="inlineStr">
        <is>
          <t>Supplier Name</t>
        </is>
      </c>
      <c r="I2" s="4" t="inlineStr">
        <is>
          <t>Unit Cost (Source Currency)</t>
        </is>
      </c>
      <c r="J2" s="4" t="inlineStr">
        <is>
          <t>Source Currency</t>
        </is>
      </c>
      <c r="K2" s="4" t="inlineStr">
        <is>
          <t>Unit Cost (BDT)</t>
        </is>
      </c>
      <c r="L2" s="4" t="inlineStr">
        <is>
          <t>Shipping Cost/Unit (BDT)</t>
        </is>
      </c>
      <c r="M2" s="4" t="inlineStr">
        <is>
          <t>Customs/Duty %</t>
        </is>
      </c>
      <c r="N2" s="4" t="inlineStr">
        <is>
          <t>Misc Fees/Unit (BDT)</t>
        </is>
      </c>
      <c r="O2" s="4" t="inlineStr">
        <is>
          <t>Estimated Landed Cost (BDT)</t>
        </is>
      </c>
      <c r="P2" s="5" t="inlineStr">
        <is>
          <t>Suggested Selling Price (BDT)</t>
        </is>
      </c>
      <c r="Q2" s="5" t="inlineStr">
        <is>
          <t>Expected Profit/Unit (BDT)</t>
        </is>
      </c>
      <c r="R2" s="5" t="inlineStr">
        <is>
          <t>Profit Margin %</t>
        </is>
      </c>
      <c r="S2" s="6" t="inlineStr">
        <is>
          <t>Feminine Score (1-5)</t>
        </is>
      </c>
      <c r="T2" s="6" t="inlineStr">
        <is>
          <t>Trend Score (1-5)</t>
        </is>
      </c>
      <c r="U2" s="6" t="inlineStr">
        <is>
          <t>AAYNA Aesthetic Fit Score (1-5)</t>
        </is>
      </c>
      <c r="V2" s="6" t="inlineStr">
        <is>
          <t>Easy to Style Score (1-5)</t>
        </is>
      </c>
      <c r="W2" s="6" t="inlineStr">
        <is>
          <t>Lightweight Score (1-5)</t>
        </is>
      </c>
      <c r="X2" s="6" t="inlineStr">
        <is>
          <t>Reels/Photo Potential Score (1-5)</t>
        </is>
      </c>
      <c r="Y2" s="6" t="inlineStr">
        <is>
          <t>Giftability Score (1-5)</t>
        </is>
      </c>
      <c r="Z2" s="6" t="inlineStr">
        <is>
          <t>Price Fit Score (1-5)</t>
        </is>
      </c>
      <c r="AA2" s="6" t="inlineStr">
        <is>
          <t>Demand Score (1-5)</t>
        </is>
      </c>
      <c r="AB2" s="6" t="inlineStr">
        <is>
          <t>Quality/Risk Score (1-5)</t>
        </is>
      </c>
      <c r="AC2" s="6" t="inlineStr">
        <is>
          <t>Total Product Score (/100)</t>
        </is>
      </c>
      <c r="AD2" s="6" t="inlineStr">
        <is>
          <t>Decision</t>
        </is>
      </c>
      <c r="AE2" s="6" t="inlineStr">
        <is>
          <t>Reason</t>
        </is>
      </c>
      <c r="AF2" s="7" t="inlineStr">
        <is>
          <t>Content/Reel Idea</t>
        </is>
      </c>
      <c r="AG2" s="7" t="inlineStr">
        <is>
          <t>Approval Status</t>
        </is>
      </c>
      <c r="AH2" s="7" t="inlineStr">
        <is>
          <t>Approved By</t>
        </is>
      </c>
      <c r="AI2" s="7" t="inlineStr">
        <is>
          <t>Date Decided</t>
        </is>
      </c>
      <c r="AJ2" s="8" t="inlineStr">
        <is>
          <t>Rank Key: Overall (hidden)</t>
        </is>
      </c>
      <c r="AK2" s="8" t="inlineStr">
        <is>
          <t>Rank Key: Under 700 BDT (hidden)</t>
        </is>
      </c>
      <c r="AL2" s="8" t="inlineStr">
        <is>
          <t>Rank Key: Reels/Photo (hidden)</t>
        </is>
      </c>
      <c r="AM2" s="8" t="inlineStr">
        <is>
          <t>Rank Key: Giftability (hidden)</t>
        </is>
      </c>
      <c r="AN2" s="8" t="inlineStr">
        <is>
          <t>Rank Key: Needs Review (hidden)</t>
        </is>
      </c>
    </row>
    <row r="3">
      <c r="A3" s="9">
        <f>IF(C3="","","AYN-"&amp;UPPER(LEFT(E3,3))&amp;"-"&amp;TEXT(ROW()-2,"000"))</f>
        <v/>
      </c>
      <c r="B3" s="10" t="inlineStr">
        <is>
          <t>2026-06-20</t>
        </is>
      </c>
      <c r="C3" s="9" t="inlineStr">
        <is>
          <t>Antique Gold Hoop Earrings</t>
        </is>
      </c>
      <c r="D3" s="9" t="inlineStr">
        <is>
          <t>drive.google.com/sample1</t>
        </is>
      </c>
      <c r="E3" s="9" t="inlineStr">
        <is>
          <t>Earrings</t>
        </is>
      </c>
      <c r="F3" s="9" t="inlineStr">
        <is>
          <t>AliExpress</t>
        </is>
      </c>
      <c r="G3" s="9" t="inlineStr">
        <is>
          <t>aliexpress.com/item/sample1</t>
        </is>
      </c>
      <c r="H3" s="9" t="inlineStr">
        <is>
          <t>Lin Wei Trading</t>
        </is>
      </c>
      <c r="I3" s="9" t="n">
        <v>1.8</v>
      </c>
      <c r="J3" s="9" t="inlineStr">
        <is>
          <t>USD</t>
        </is>
      </c>
      <c r="K3" s="11">
        <f>IF(I3="","",IF(J3="BDT",I3,IF(J3="USD",I3*USD_BDT,IF(J3="RMB",I3*RMB_BDT,""))))</f>
        <v/>
      </c>
      <c r="L3" s="11" t="n">
        <v>25</v>
      </c>
      <c r="M3" s="12" t="n"/>
      <c r="N3" s="11" t="n">
        <v>15</v>
      </c>
      <c r="O3" s="11">
        <f>IF(K3="","",K3+IFERROR(L3,0)+(K3*IF(M3="",CUSTOMS_PCT,M3))+IF(N3="",MISC_FEE,N3))</f>
        <v/>
      </c>
      <c r="P3" s="11">
        <f>IF(O3="","",ROUND(O3*(1+MARKUP_PCT),-1)-1)</f>
        <v/>
      </c>
      <c r="Q3" s="11">
        <f>IF(P3="","",P3-O3)</f>
        <v/>
      </c>
      <c r="R3" s="12">
        <f>IF(OR(P3="",P3=0),"",Q3/P3)</f>
        <v/>
      </c>
      <c r="S3" s="9" t="n">
        <v>5</v>
      </c>
      <c r="T3" s="9" t="n">
        <v>5</v>
      </c>
      <c r="U3" s="9" t="n">
        <v>5</v>
      </c>
      <c r="V3" s="9" t="n">
        <v>4</v>
      </c>
      <c r="W3" s="9" t="n">
        <v>5</v>
      </c>
      <c r="X3" s="9" t="n">
        <v>5</v>
      </c>
      <c r="Y3" s="9" t="n">
        <v>4</v>
      </c>
      <c r="Z3" s="9" t="n">
        <v>5</v>
      </c>
      <c r="AA3" s="9" t="n">
        <v>4</v>
      </c>
      <c r="AB3" s="9" t="n">
        <v>5</v>
      </c>
      <c r="AC3" s="13">
        <f>IF(COUNT(S3:AB3)&lt;10,"",(S3*W_FEMININE+T3*W_TREND+U3*W_AESTHETIC+V3*W_STYLE+W3*W_LIGHT+X3*W_REELS+Y3*W_GIFT+Z3*W_PRICEFIT+AA3*W_DEMAND+AB3*W_QUALITY)/5*100)</f>
        <v/>
      </c>
      <c r="AD3" s="9">
        <f>IF(P3="","",IF(P3&gt;HARD_REJECT_PRICE,"Reject",IF(P3&gt;MAX_PRICE,"Price Review",IF(AC3="","",IF(AND(AC3&gt;=BUY_THRESHOLD,OR(AB3&lt;=2,U3&lt;=2)),"Maybe",IF(AC3&gt;=BUY_THRESHOLD,"Buy",IF(AC3&gt;=MAYBE_THRESHOLD,"Maybe","Reject")))))))</f>
        <v/>
      </c>
      <c r="AE3" s="9" t="inlineStr">
        <is>
          <t>Strong rose-gold match, trending on TikTok, lightweight and giftable.</t>
        </is>
      </c>
      <c r="AF3" s="9" t="inlineStr">
        <is>
          <t>Reel: 'Get Ready With Me' earring swap, 3 looks in 15 sec.</t>
        </is>
      </c>
      <c r="AG3" s="9" t="inlineStr">
        <is>
          <t>Approved</t>
        </is>
      </c>
      <c r="AH3" s="9" t="inlineStr">
        <is>
          <t>Nadia</t>
        </is>
      </c>
      <c r="AI3" s="10" t="inlineStr">
        <is>
          <t>2026-06-21</t>
        </is>
      </c>
      <c r="AJ3">
        <f>IF(AC3="",-9999-ROW()*0.0000001,AC3-ROW()*0.0000001)</f>
        <v/>
      </c>
      <c r="AK3">
        <f>IF(OR(AC3="",P3="",P3&gt;MAX_PRICE),-9999-ROW()*0.0000001,AC3-ROW()*0.0000001)</f>
        <v/>
      </c>
      <c r="AL3">
        <f>IF(AC3="",-9999-ROW()*0.0000001,X3*1000+AC3-ROW()*0.0000001)</f>
        <v/>
      </c>
      <c r="AM3">
        <f>IF(AC3="",-9999-ROW()*0.0000001,Y3*1000+AC3-ROW()*0.0000001)</f>
        <v/>
      </c>
      <c r="AN3">
        <f>IF(AND(OR(AD3="Maybe",AD3="Price Review"),AG3&lt;&gt;"Approved",AG3&lt;&gt;"Rejected"),IF(AC3="",0,AC3)-ROW()*0.0000001,-9999-ROW()*0.0000001)</f>
        <v/>
      </c>
    </row>
    <row r="4">
      <c r="A4" s="14">
        <f>IF(C4="","","AYN-"&amp;UPPER(LEFT(E4,3))&amp;"-"&amp;TEXT(ROW()-2,"000"))</f>
        <v/>
      </c>
      <c r="B4" s="15" t="inlineStr">
        <is>
          <t>2026-06-21</t>
        </is>
      </c>
      <c r="C4" s="14" t="inlineStr">
        <is>
          <t>Beaded Choker Necklace</t>
        </is>
      </c>
      <c r="D4" s="14" t="inlineStr">
        <is>
          <t>drive.google.com/sample2</t>
        </is>
      </c>
      <c r="E4" s="14" t="inlineStr">
        <is>
          <t>Necklace</t>
        </is>
      </c>
      <c r="F4" s="14" t="inlineStr">
        <is>
          <t>SkyBuyBD</t>
        </is>
      </c>
      <c r="G4" s="14" t="inlineStr">
        <is>
          <t>skybuybd.com/item/sample2</t>
        </is>
      </c>
      <c r="H4" s="14" t="inlineStr">
        <is>
          <t>Skybuy Supplier 14</t>
        </is>
      </c>
      <c r="I4" s="14" t="n">
        <v>60</v>
      </c>
      <c r="J4" s="14" t="inlineStr">
        <is>
          <t>BDT</t>
        </is>
      </c>
      <c r="K4" s="16">
        <f>IF(I4="","",IF(J4="BDT",I4,IF(J4="USD",I4*USD_BDT,IF(J4="RMB",I4*RMB_BDT,""))))</f>
        <v/>
      </c>
      <c r="L4" s="16" t="n">
        <v>10</v>
      </c>
      <c r="M4" s="17" t="n"/>
      <c r="N4" s="16" t="n">
        <v>12</v>
      </c>
      <c r="O4" s="16">
        <f>IF(K4="","",K4+IFERROR(L4,0)+(K4*IF(M4="",CUSTOMS_PCT,M4))+IF(N4="",MISC_FEE,N4))</f>
        <v/>
      </c>
      <c r="P4" s="16">
        <f>IF(O4="","",ROUND(O4*(1+MARKUP_PCT),-1)-1)</f>
        <v/>
      </c>
      <c r="Q4" s="16">
        <f>IF(P4="","",P4-O4)</f>
        <v/>
      </c>
      <c r="R4" s="17">
        <f>IF(OR(P4="",P4=0),"",Q4/P4)</f>
        <v/>
      </c>
      <c r="S4" s="14" t="n">
        <v>5</v>
      </c>
      <c r="T4" s="14" t="n">
        <v>4</v>
      </c>
      <c r="U4" s="14" t="n">
        <v>5</v>
      </c>
      <c r="V4" s="14" t="n">
        <v>4</v>
      </c>
      <c r="W4" s="14" t="n">
        <v>4</v>
      </c>
      <c r="X4" s="14" t="n">
        <v>4</v>
      </c>
      <c r="Y4" s="14" t="n">
        <v>4</v>
      </c>
      <c r="Z4" s="14" t="n">
        <v>5</v>
      </c>
      <c r="AA4" s="14" t="n">
        <v>4</v>
      </c>
      <c r="AB4" s="14" t="n">
        <v>2</v>
      </c>
      <c r="AC4" s="18">
        <f>IF(COUNT(S4:AB4)&lt;10,"",(S4*W_FEMININE+T4*W_TREND+U4*W_AESTHETIC+V4*W_STYLE+W4*W_LIGHT+X4*W_REELS+Y4*W_GIFT+Z4*W_PRICEFIT+AA4*W_DEMAND+AB4*W_QUALITY)/5*100)</f>
        <v/>
      </c>
      <c r="AD4" s="14">
        <f>IF(P4="","",IF(P4&gt;HARD_REJECT_PRICE,"Reject",IF(P4&gt;MAX_PRICE,"Price Review",IF(AC4="","",IF(AND(AC4&gt;=BUY_THRESHOLD,OR(AB4&lt;=2,U4&lt;=2)),"Maybe",IF(AC4&gt;=BUY_THRESHOLD,"Buy",IF(AC4&gt;=MAYBE_THRESHOLD,"Maybe","Reject")))))))</f>
        <v/>
      </c>
      <c r="AE4" s="14" t="inlineStr">
        <is>
          <t>Gorgeous and on-trend, but beads chip easily in transit — quality/return risk caps this at Maybe.</t>
        </is>
      </c>
      <c r="AF4" s="14" t="inlineStr">
        <is>
          <t>Try-on reel layering 3 chokers.</t>
        </is>
      </c>
      <c r="AG4" s="14" t="inlineStr">
        <is>
          <t>Pending</t>
        </is>
      </c>
      <c r="AH4" s="14" t="n"/>
      <c r="AI4" s="15" t="n"/>
      <c r="AJ4">
        <f>IF(AC4="",-9999-ROW()*0.0000001,AC4-ROW()*0.0000001)</f>
        <v/>
      </c>
      <c r="AK4">
        <f>IF(OR(AC4="",P4="",P4&gt;MAX_PRICE),-9999-ROW()*0.0000001,AC4-ROW()*0.0000001)</f>
        <v/>
      </c>
      <c r="AL4">
        <f>IF(AC4="",-9999-ROW()*0.0000001,X4*1000+AC4-ROW()*0.0000001)</f>
        <v/>
      </c>
      <c r="AM4">
        <f>IF(AC4="",-9999-ROW()*0.0000001,Y4*1000+AC4-ROW()*0.0000001)</f>
        <v/>
      </c>
      <c r="AN4">
        <f>IF(AND(OR(AD4="Maybe",AD4="Price Review"),AG4&lt;&gt;"Approved",AG4&lt;&gt;"Rejected"),IF(AC4="",0,AC4)-ROW()*0.0000001,-9999-ROW()*0.0000001)</f>
        <v/>
      </c>
    </row>
    <row r="5">
      <c r="A5" s="9">
        <f>IF(C5="","","AYN-"&amp;UPPER(LEFT(E5,3))&amp;"-"&amp;TEXT(ROW()-2,"000"))</f>
        <v/>
      </c>
      <c r="B5" s="10" t="inlineStr">
        <is>
          <t>2026-06-21</t>
        </is>
      </c>
      <c r="C5" s="9" t="inlineStr">
        <is>
          <t>Plain Plastic Hair Clip</t>
        </is>
      </c>
      <c r="D5" s="9" t="inlineStr">
        <is>
          <t>drive.google.com/sample3</t>
        </is>
      </c>
      <c r="E5" s="9" t="inlineStr">
        <is>
          <t>Hair Accessory</t>
        </is>
      </c>
      <c r="F5" s="9" t="inlineStr">
        <is>
          <t>1688</t>
        </is>
      </c>
      <c r="G5" s="9" t="inlineStr">
        <is>
          <t>1688.com/item/sample3</t>
        </is>
      </c>
      <c r="H5" s="9" t="inlineStr">
        <is>
          <t>Generic Factory 8</t>
        </is>
      </c>
      <c r="I5" s="9" t="n">
        <v>25</v>
      </c>
      <c r="J5" s="9" t="inlineStr">
        <is>
          <t>BDT</t>
        </is>
      </c>
      <c r="K5" s="11">
        <f>IF(I5="","",IF(J5="BDT",I5,IF(J5="USD",I5*USD_BDT,IF(J5="RMB",I5*RMB_BDT,""))))</f>
        <v/>
      </c>
      <c r="L5" s="11" t="n">
        <v>8</v>
      </c>
      <c r="M5" s="12" t="n"/>
      <c r="N5" s="11" t="n">
        <v>10</v>
      </c>
      <c r="O5" s="11">
        <f>IF(K5="","",K5+IFERROR(L5,0)+(K5*IF(M5="",CUSTOMS_PCT,M5))+IF(N5="",MISC_FEE,N5))</f>
        <v/>
      </c>
      <c r="P5" s="11">
        <f>IF(O5="","",ROUND(O5*(1+MARKUP_PCT),-1)-1)</f>
        <v/>
      </c>
      <c r="Q5" s="11">
        <f>IF(P5="","",P5-O5)</f>
        <v/>
      </c>
      <c r="R5" s="12">
        <f>IF(OR(P5="",P5=0),"",Q5/P5)</f>
        <v/>
      </c>
      <c r="S5" s="9" t="n">
        <v>2</v>
      </c>
      <c r="T5" s="9" t="n">
        <v>2</v>
      </c>
      <c r="U5" s="9" t="n">
        <v>2</v>
      </c>
      <c r="V5" s="9" t="n">
        <v>3</v>
      </c>
      <c r="W5" s="9" t="n">
        <v>3</v>
      </c>
      <c r="X5" s="9" t="n">
        <v>2</v>
      </c>
      <c r="Y5" s="9" t="n">
        <v>2</v>
      </c>
      <c r="Z5" s="9" t="n">
        <v>4</v>
      </c>
      <c r="AA5" s="9" t="n">
        <v>2</v>
      </c>
      <c r="AB5" s="9" t="n">
        <v>3</v>
      </c>
      <c r="AC5" s="13">
        <f>IF(COUNT(S5:AB5)&lt;10,"",(S5*W_FEMININE+T5*W_TREND+U5*W_AESTHETIC+V5*W_STYLE+W5*W_LIGHT+X5*W_REELS+Y5*W_GIFT+Z5*W_PRICEFIT+AA5*W_DEMAND+AB5*W_QUALITY)/5*100)</f>
        <v/>
      </c>
      <c r="AD5" s="9">
        <f>IF(P5="","",IF(P5&gt;HARD_REJECT_PRICE,"Reject",IF(P5&gt;MAX_PRICE,"Price Review",IF(AC5="","",IF(AND(AC5&gt;=BUY_THRESHOLD,OR(AB5&lt;=2,U5&lt;=2)),"Maybe",IF(AC5&gt;=BUY_THRESHOLD,"Buy",IF(AC5&gt;=MAYBE_THRESHOLD,"Maybe","Reject")))))))</f>
        <v/>
      </c>
      <c r="AE5" s="9" t="inlineStr">
        <is>
          <t>Generic look, low trend/demand/aesthetic fit — total score too low to justify stocking.</t>
        </is>
      </c>
      <c r="AF5" s="9" t="inlineStr"/>
      <c r="AG5" s="9" t="inlineStr">
        <is>
          <t>Rejected</t>
        </is>
      </c>
      <c r="AH5" s="9" t="n"/>
      <c r="AI5" s="10" t="n"/>
      <c r="AJ5">
        <f>IF(AC5="",-9999-ROW()*0.0000001,AC5-ROW()*0.0000001)</f>
        <v/>
      </c>
      <c r="AK5">
        <f>IF(OR(AC5="",P5="",P5&gt;MAX_PRICE),-9999-ROW()*0.0000001,AC5-ROW()*0.0000001)</f>
        <v/>
      </c>
      <c r="AL5">
        <f>IF(AC5="",-9999-ROW()*0.0000001,X5*1000+AC5-ROW()*0.0000001)</f>
        <v/>
      </c>
      <c r="AM5">
        <f>IF(AC5="",-9999-ROW()*0.0000001,Y5*1000+AC5-ROW()*0.0000001)</f>
        <v/>
      </c>
      <c r="AN5">
        <f>IF(AND(OR(AD5="Maybe",AD5="Price Review"),AG5&lt;&gt;"Approved",AG5&lt;&gt;"Rejected"),IF(AC5="",0,AC5)-ROW()*0.0000001,-9999-ROW()*0.0000001)</f>
        <v/>
      </c>
    </row>
    <row r="6">
      <c r="A6" s="14">
        <f>IF(C6="","","AYN-"&amp;UPPER(LEFT(E6,3))&amp;"-"&amp;TEXT(ROW()-2,"000"))</f>
        <v/>
      </c>
      <c r="B6" s="15" t="inlineStr">
        <is>
          <t>2026-06-22</t>
        </is>
      </c>
      <c r="C6" s="14" t="inlineStr">
        <is>
          <t>Embroidered Tote Bag</t>
        </is>
      </c>
      <c r="D6" s="14" t="inlineStr">
        <is>
          <t>drive.google.com/sample4</t>
        </is>
      </c>
      <c r="E6" s="14" t="inlineStr">
        <is>
          <t>Bag</t>
        </is>
      </c>
      <c r="F6" s="14" t="inlineStr">
        <is>
          <t>AliExpress</t>
        </is>
      </c>
      <c r="G6" s="14" t="inlineStr">
        <is>
          <t>aliexpress.com/item/sample4</t>
        </is>
      </c>
      <c r="H6" s="14" t="inlineStr">
        <is>
          <t>Lin Wei Trading</t>
        </is>
      </c>
      <c r="I6" s="14" t="n">
        <v>300</v>
      </c>
      <c r="J6" s="14" t="inlineStr">
        <is>
          <t>BDT</t>
        </is>
      </c>
      <c r="K6" s="16">
        <f>IF(I6="","",IF(J6="BDT",I6,IF(J6="USD",I6*USD_BDT,IF(J6="RMB",I6*RMB_BDT,""))))</f>
        <v/>
      </c>
      <c r="L6" s="16" t="n">
        <v>40</v>
      </c>
      <c r="M6" s="17" t="n"/>
      <c r="N6" s="16" t="n">
        <v>15</v>
      </c>
      <c r="O6" s="16">
        <f>IF(K6="","",K6+IFERROR(L6,0)+(K6*IF(M6="",CUSTOMS_PCT,M6))+IF(N6="",MISC_FEE,N6))</f>
        <v/>
      </c>
      <c r="P6" s="16">
        <f>IF(O6="","",ROUND(O6*(1+MARKUP_PCT),-1)-1)</f>
        <v/>
      </c>
      <c r="Q6" s="16">
        <f>IF(P6="","",P6-O6)</f>
        <v/>
      </c>
      <c r="R6" s="17">
        <f>IF(OR(P6="",P6=0),"",Q6/P6)</f>
        <v/>
      </c>
      <c r="S6" s="14" t="n">
        <v>4</v>
      </c>
      <c r="T6" s="14" t="n">
        <v>4</v>
      </c>
      <c r="U6" s="14" t="n">
        <v>4</v>
      </c>
      <c r="V6" s="14" t="n">
        <v>3</v>
      </c>
      <c r="W6" s="14" t="n">
        <v>3</v>
      </c>
      <c r="X6" s="14" t="n">
        <v>3</v>
      </c>
      <c r="Y6" s="14" t="n">
        <v>4</v>
      </c>
      <c r="Z6" s="14" t="n">
        <v>2</v>
      </c>
      <c r="AA6" s="14" t="n">
        <v>4</v>
      </c>
      <c r="AB6" s="14" t="n">
        <v>4</v>
      </c>
      <c r="AC6" s="18">
        <f>IF(COUNT(S6:AB6)&lt;10,"",(S6*W_FEMININE+T6*W_TREND+U6*W_AESTHETIC+V6*W_STYLE+W6*W_LIGHT+X6*W_REELS+Y6*W_GIFT+Z6*W_PRICEFIT+AA6*W_DEMAND+AB6*W_QUALITY)/5*100)</f>
        <v/>
      </c>
      <c r="AD6" s="14">
        <f>IF(P6="","",IF(P6&gt;HARD_REJECT_PRICE,"Reject",IF(P6&gt;MAX_PRICE,"Price Review",IF(AC6="","",IF(AND(AC6&gt;=BUY_THRESHOLD,OR(AB6&lt;=2,U6&lt;=2)),"Maybe",IF(AC6&gt;=BUY_THRESHOLD,"Buy",IF(AC6&gt;=MAYBE_THRESHOLD,"Maybe","Reject")))))))</f>
        <v/>
      </c>
      <c r="AE6" s="14" t="inlineStr">
        <is>
          <t>Lovely design, but landed cost pushes selling price over 700 — needs supplier price negotiation.</t>
        </is>
      </c>
      <c r="AF6" s="14" t="inlineStr">
        <is>
          <t>Flatlay reel with 3 outfit pairings.</t>
        </is>
      </c>
      <c r="AG6" s="14" t="inlineStr">
        <is>
          <t>Pending</t>
        </is>
      </c>
      <c r="AH6" s="14" t="n"/>
      <c r="AI6" s="15" t="n"/>
      <c r="AJ6">
        <f>IF(AC6="",-9999-ROW()*0.0000001,AC6-ROW()*0.0000001)</f>
        <v/>
      </c>
      <c r="AK6">
        <f>IF(OR(AC6="",P6="",P6&gt;MAX_PRICE),-9999-ROW()*0.0000001,AC6-ROW()*0.0000001)</f>
        <v/>
      </c>
      <c r="AL6">
        <f>IF(AC6="",-9999-ROW()*0.0000001,X6*1000+AC6-ROW()*0.0000001)</f>
        <v/>
      </c>
      <c r="AM6">
        <f>IF(AC6="",-9999-ROW()*0.0000001,Y6*1000+AC6-ROW()*0.0000001)</f>
        <v/>
      </c>
      <c r="AN6">
        <f>IF(AND(OR(AD6="Maybe",AD6="Price Review"),AG6&lt;&gt;"Approved",AG6&lt;&gt;"Rejected"),IF(AC6="",0,AC6)-ROW()*0.0000001,-9999-ROW()*0.0000001)</f>
        <v/>
      </c>
    </row>
    <row r="7">
      <c r="A7" s="9">
        <f>IF(C7="","","AYN-"&amp;UPPER(LEFT(E7,3))&amp;"-"&amp;TEXT(ROW()-2,"000"))</f>
        <v/>
      </c>
      <c r="B7" s="10" t="inlineStr">
        <is>
          <t>2026-06-22</t>
        </is>
      </c>
      <c r="C7" s="9" t="inlineStr">
        <is>
          <t>Designer-Inspired Sunglasses</t>
        </is>
      </c>
      <c r="D7" s="9" t="inlineStr">
        <is>
          <t>drive.google.com/sample5</t>
        </is>
      </c>
      <c r="E7" s="9" t="inlineStr">
        <is>
          <t>Sunglasses</t>
        </is>
      </c>
      <c r="F7" s="9" t="inlineStr">
        <is>
          <t>AliExpress</t>
        </is>
      </c>
      <c r="G7" s="9" t="inlineStr">
        <is>
          <t>aliexpress.com/item/sample5</t>
        </is>
      </c>
      <c r="H7" s="9" t="inlineStr">
        <is>
          <t>Guangzhou Eyewear Co</t>
        </is>
      </c>
      <c r="I7" s="9" t="n">
        <v>15</v>
      </c>
      <c r="J7" s="9" t="inlineStr">
        <is>
          <t>USD</t>
        </is>
      </c>
      <c r="K7" s="11">
        <f>IF(I7="","",IF(J7="BDT",I7,IF(J7="USD",I7*USD_BDT,IF(J7="RMB",I7*RMB_BDT,""))))</f>
        <v/>
      </c>
      <c r="L7" s="11" t="n">
        <v>50</v>
      </c>
      <c r="M7" s="12" t="n"/>
      <c r="N7" s="11" t="n">
        <v>15</v>
      </c>
      <c r="O7" s="11">
        <f>IF(K7="","",K7+IFERROR(L7,0)+(K7*IF(M7="",CUSTOMS_PCT,M7))+IF(N7="",MISC_FEE,N7))</f>
        <v/>
      </c>
      <c r="P7" s="11">
        <f>IF(O7="","",ROUND(O7*(1+MARKUP_PCT),-1)-1)</f>
        <v/>
      </c>
      <c r="Q7" s="11">
        <f>IF(P7="","",P7-O7)</f>
        <v/>
      </c>
      <c r="R7" s="12">
        <f>IF(OR(P7="",P7=0),"",Q7/P7)</f>
        <v/>
      </c>
      <c r="S7" s="9" t="n"/>
      <c r="T7" s="9" t="n"/>
      <c r="U7" s="9" t="n"/>
      <c r="V7" s="9" t="n"/>
      <c r="W7" s="9" t="n"/>
      <c r="X7" s="9" t="n"/>
      <c r="Y7" s="9" t="n"/>
      <c r="Z7" s="9" t="n"/>
      <c r="AA7" s="9" t="n"/>
      <c r="AB7" s="9" t="n"/>
      <c r="AC7" s="13">
        <f>IF(COUNT(S7:AB7)&lt;10,"",(S7*W_FEMININE+T7*W_TREND+U7*W_AESTHETIC+V7*W_STYLE+W7*W_LIGHT+X7*W_REELS+Y7*W_GIFT+Z7*W_PRICEFIT+AA7*W_DEMAND+AB7*W_QUALITY)/5*100)</f>
        <v/>
      </c>
      <c r="AD7" s="9">
        <f>IF(P7="","",IF(P7&gt;HARD_REJECT_PRICE,"Reject",IF(P7&gt;MAX_PRICE,"Price Review",IF(AC7="","",IF(AND(AC7&gt;=BUY_THRESHOLD,OR(AB7&lt;=2,U7&lt;=2)),"Maybe",IF(AC7&gt;=BUY_THRESHOLD,"Buy",IF(AC7&gt;=MAYBE_THRESHOLD,"Maybe","Reject")))))))</f>
        <v/>
      </c>
      <c r="AE7" s="9" t="inlineStr">
        <is>
          <t>Cost alone puts this far above our price ceiling even before scoring — auto-rejected.</t>
        </is>
      </c>
      <c r="AF7" s="9" t="inlineStr"/>
      <c r="AG7" s="9" t="inlineStr">
        <is>
          <t>Rejected</t>
        </is>
      </c>
      <c r="AH7" s="9" t="n"/>
      <c r="AI7" s="10" t="n"/>
      <c r="AJ7">
        <f>IF(AC7="",-9999-ROW()*0.0000001,AC7-ROW()*0.0000001)</f>
        <v/>
      </c>
      <c r="AK7">
        <f>IF(OR(AC7="",P7="",P7&gt;MAX_PRICE),-9999-ROW()*0.0000001,AC7-ROW()*0.0000001)</f>
        <v/>
      </c>
      <c r="AL7">
        <f>IF(AC7="",-9999-ROW()*0.0000001,X7*1000+AC7-ROW()*0.0000001)</f>
        <v/>
      </c>
      <c r="AM7">
        <f>IF(AC7="",-9999-ROW()*0.0000001,Y7*1000+AC7-ROW()*0.0000001)</f>
        <v/>
      </c>
      <c r="AN7">
        <f>IF(AND(OR(AD7="Maybe",AD7="Price Review"),AG7&lt;&gt;"Approved",AG7&lt;&gt;"Rejected"),IF(AC7="",0,AC7)-ROW()*0.0000001,-9999-ROW()*0.0000001)</f>
        <v/>
      </c>
    </row>
    <row r="8">
      <c r="A8" s="14">
        <f>IF(C8="","","AYN-"&amp;UPPER(LEFT(E8,3))&amp;"-"&amp;TEXT(ROW()-2,"000"))</f>
        <v/>
      </c>
      <c r="B8" s="15" t="n"/>
      <c r="C8" s="14" t="n"/>
      <c r="D8" s="14" t="n"/>
      <c r="E8" s="14" t="n"/>
      <c r="F8" s="14" t="n"/>
      <c r="G8" s="14" t="n"/>
      <c r="H8" s="14" t="n"/>
      <c r="I8" s="14" t="n"/>
      <c r="J8" s="14" t="n"/>
      <c r="K8" s="16">
        <f>IF(I8="","",IF(J8="BDT",I8,IF(J8="USD",I8*USD_BDT,IF(J8="RMB",I8*RMB_BDT,""))))</f>
        <v/>
      </c>
      <c r="L8" s="16" t="n"/>
      <c r="M8" s="17" t="n"/>
      <c r="N8" s="16" t="n"/>
      <c r="O8" s="16">
        <f>IF(K8="","",K8+IFERROR(L8,0)+(K8*IF(M8="",CUSTOMS_PCT,M8))+IF(N8="",MISC_FEE,N8))</f>
        <v/>
      </c>
      <c r="P8" s="16">
        <f>IF(O8="","",ROUND(O8*(1+MARKUP_PCT),-1)-1)</f>
        <v/>
      </c>
      <c r="Q8" s="16">
        <f>IF(P8="","",P8-O8)</f>
        <v/>
      </c>
      <c r="R8" s="17">
        <f>IF(OR(P8="",P8=0),"",Q8/P8)</f>
        <v/>
      </c>
      <c r="S8" s="14" t="n"/>
      <c r="T8" s="14" t="n"/>
      <c r="U8" s="14" t="n"/>
      <c r="V8" s="14" t="n"/>
      <c r="W8" s="14" t="n"/>
      <c r="X8" s="14" t="n"/>
      <c r="Y8" s="14" t="n"/>
      <c r="Z8" s="14" t="n"/>
      <c r="AA8" s="14" t="n"/>
      <c r="AB8" s="14" t="n"/>
      <c r="AC8" s="18">
        <f>IF(COUNT(S8:AB8)&lt;10,"",(S8*W_FEMININE+T8*W_TREND+U8*W_AESTHETIC+V8*W_STYLE+W8*W_LIGHT+X8*W_REELS+Y8*W_GIFT+Z8*W_PRICEFIT+AA8*W_DEMAND+AB8*W_QUALITY)/5*100)</f>
        <v/>
      </c>
      <c r="AD8" s="14">
        <f>IF(P8="","",IF(P8&gt;HARD_REJECT_PRICE,"Reject",IF(P8&gt;MAX_PRICE,"Price Review",IF(AC8="","",IF(AND(AC8&gt;=BUY_THRESHOLD,OR(AB8&lt;=2,U8&lt;=2)),"Maybe",IF(AC8&gt;=BUY_THRESHOLD,"Buy",IF(AC8&gt;=MAYBE_THRESHOLD,"Maybe","Reject")))))))</f>
        <v/>
      </c>
      <c r="AE8" s="14" t="n"/>
      <c r="AF8" s="14" t="n"/>
      <c r="AG8" s="14" t="n"/>
      <c r="AH8" s="14" t="n"/>
      <c r="AI8" s="15" t="n"/>
      <c r="AJ8">
        <f>IF(AC8="",-9999-ROW()*0.0000001,AC8-ROW()*0.0000001)</f>
        <v/>
      </c>
      <c r="AK8">
        <f>IF(OR(AC8="",P8="",P8&gt;MAX_PRICE),-9999-ROW()*0.0000001,AC8-ROW()*0.0000001)</f>
        <v/>
      </c>
      <c r="AL8">
        <f>IF(AC8="",-9999-ROW()*0.0000001,X8*1000+AC8-ROW()*0.0000001)</f>
        <v/>
      </c>
      <c r="AM8">
        <f>IF(AC8="",-9999-ROW()*0.0000001,Y8*1000+AC8-ROW()*0.0000001)</f>
        <v/>
      </c>
      <c r="AN8">
        <f>IF(AND(OR(AD8="Maybe",AD8="Price Review"),AG8&lt;&gt;"Approved",AG8&lt;&gt;"Rejected"),IF(AC8="",0,AC8)-ROW()*0.0000001,-9999-ROW()*0.0000001)</f>
        <v/>
      </c>
    </row>
    <row r="9">
      <c r="A9" s="9">
        <f>IF(C9="","","AYN-"&amp;UPPER(LEFT(E9,3))&amp;"-"&amp;TEXT(ROW()-2,"000"))</f>
        <v/>
      </c>
      <c r="B9" s="10" t="n"/>
      <c r="C9" s="9" t="n"/>
      <c r="D9" s="9" t="n"/>
      <c r="E9" s="9" t="n"/>
      <c r="F9" s="9" t="n"/>
      <c r="G9" s="9" t="n"/>
      <c r="H9" s="9" t="n"/>
      <c r="I9" s="9" t="n"/>
      <c r="J9" s="9" t="n"/>
      <c r="K9" s="11">
        <f>IF(I9="","",IF(J9="BDT",I9,IF(J9="USD",I9*USD_BDT,IF(J9="RMB",I9*RMB_BDT,""))))</f>
        <v/>
      </c>
      <c r="L9" s="11" t="n"/>
      <c r="M9" s="12" t="n"/>
      <c r="N9" s="11" t="n"/>
      <c r="O9" s="11">
        <f>IF(K9="","",K9+IFERROR(L9,0)+(K9*IF(M9="",CUSTOMS_PCT,M9))+IF(N9="",MISC_FEE,N9))</f>
        <v/>
      </c>
      <c r="P9" s="11">
        <f>IF(O9="","",ROUND(O9*(1+MARKUP_PCT),-1)-1)</f>
        <v/>
      </c>
      <c r="Q9" s="11">
        <f>IF(P9="","",P9-O9)</f>
        <v/>
      </c>
      <c r="R9" s="12">
        <f>IF(OR(P9="",P9=0),"",Q9/P9)</f>
        <v/>
      </c>
      <c r="S9" s="9" t="n"/>
      <c r="T9" s="9" t="n"/>
      <c r="U9" s="9" t="n"/>
      <c r="V9" s="9" t="n"/>
      <c r="W9" s="9" t="n"/>
      <c r="X9" s="9" t="n"/>
      <c r="Y9" s="9" t="n"/>
      <c r="Z9" s="9" t="n"/>
      <c r="AA9" s="9" t="n"/>
      <c r="AB9" s="9" t="n"/>
      <c r="AC9" s="13">
        <f>IF(COUNT(S9:AB9)&lt;10,"",(S9*W_FEMININE+T9*W_TREND+U9*W_AESTHETIC+V9*W_STYLE+W9*W_LIGHT+X9*W_REELS+Y9*W_GIFT+Z9*W_PRICEFIT+AA9*W_DEMAND+AB9*W_QUALITY)/5*100)</f>
        <v/>
      </c>
      <c r="AD9" s="9">
        <f>IF(P9="","",IF(P9&gt;HARD_REJECT_PRICE,"Reject",IF(P9&gt;MAX_PRICE,"Price Review",IF(AC9="","",IF(AND(AC9&gt;=BUY_THRESHOLD,OR(AB9&lt;=2,U9&lt;=2)),"Maybe",IF(AC9&gt;=BUY_THRESHOLD,"Buy",IF(AC9&gt;=MAYBE_THRESHOLD,"Maybe","Reject")))))))</f>
        <v/>
      </c>
      <c r="AE9" s="9" t="n"/>
      <c r="AF9" s="9" t="n"/>
      <c r="AG9" s="9" t="n"/>
      <c r="AH9" s="9" t="n"/>
      <c r="AI9" s="10" t="n"/>
      <c r="AJ9">
        <f>IF(AC9="",-9999-ROW()*0.0000001,AC9-ROW()*0.0000001)</f>
        <v/>
      </c>
      <c r="AK9">
        <f>IF(OR(AC9="",P9="",P9&gt;MAX_PRICE),-9999-ROW()*0.0000001,AC9-ROW()*0.0000001)</f>
        <v/>
      </c>
      <c r="AL9">
        <f>IF(AC9="",-9999-ROW()*0.0000001,X9*1000+AC9-ROW()*0.0000001)</f>
        <v/>
      </c>
      <c r="AM9">
        <f>IF(AC9="",-9999-ROW()*0.0000001,Y9*1000+AC9-ROW()*0.0000001)</f>
        <v/>
      </c>
      <c r="AN9">
        <f>IF(AND(OR(AD9="Maybe",AD9="Price Review"),AG9&lt;&gt;"Approved",AG9&lt;&gt;"Rejected"),IF(AC9="",0,AC9)-ROW()*0.0000001,-9999-ROW()*0.0000001)</f>
        <v/>
      </c>
    </row>
    <row r="10">
      <c r="A10" s="14">
        <f>IF(C10="","","AYN-"&amp;UPPER(LEFT(E10,3))&amp;"-"&amp;TEXT(ROW()-2,"000"))</f>
        <v/>
      </c>
      <c r="B10" s="15" t="n"/>
      <c r="C10" s="14" t="n"/>
      <c r="D10" s="14" t="n"/>
      <c r="E10" s="14" t="n"/>
      <c r="F10" s="14" t="n"/>
      <c r="G10" s="14" t="n"/>
      <c r="H10" s="14" t="n"/>
      <c r="I10" s="14" t="n"/>
      <c r="J10" s="14" t="n"/>
      <c r="K10" s="16">
        <f>IF(I10="","",IF(J10="BDT",I10,IF(J10="USD",I10*USD_BDT,IF(J10="RMB",I10*RMB_BDT,""))))</f>
        <v/>
      </c>
      <c r="L10" s="16" t="n"/>
      <c r="M10" s="17" t="n"/>
      <c r="N10" s="16" t="n"/>
      <c r="O10" s="16">
        <f>IF(K10="","",K10+IFERROR(L10,0)+(K10*IF(M10="",CUSTOMS_PCT,M10))+IF(N10="",MISC_FEE,N10))</f>
        <v/>
      </c>
      <c r="P10" s="16">
        <f>IF(O10="","",ROUND(O10*(1+MARKUP_PCT),-1)-1)</f>
        <v/>
      </c>
      <c r="Q10" s="16">
        <f>IF(P10="","",P10-O10)</f>
        <v/>
      </c>
      <c r="R10" s="17">
        <f>IF(OR(P10="",P10=0),"",Q10/P10)</f>
        <v/>
      </c>
      <c r="S10" s="14" t="n"/>
      <c r="T10" s="14" t="n"/>
      <c r="U10" s="14" t="n"/>
      <c r="V10" s="14" t="n"/>
      <c r="W10" s="14" t="n"/>
      <c r="X10" s="14" t="n"/>
      <c r="Y10" s="14" t="n"/>
      <c r="Z10" s="14" t="n"/>
      <c r="AA10" s="14" t="n"/>
      <c r="AB10" s="14" t="n"/>
      <c r="AC10" s="18">
        <f>IF(COUNT(S10:AB10)&lt;10,"",(S10*W_FEMININE+T10*W_TREND+U10*W_AESTHETIC+V10*W_STYLE+W10*W_LIGHT+X10*W_REELS+Y10*W_GIFT+Z10*W_PRICEFIT+AA10*W_DEMAND+AB10*W_QUALITY)/5*100)</f>
        <v/>
      </c>
      <c r="AD10" s="14">
        <f>IF(P10="","",IF(P10&gt;HARD_REJECT_PRICE,"Reject",IF(P10&gt;MAX_PRICE,"Price Review",IF(AC10="","",IF(AND(AC10&gt;=BUY_THRESHOLD,OR(AB10&lt;=2,U10&lt;=2)),"Maybe",IF(AC10&gt;=BUY_THRESHOLD,"Buy",IF(AC10&gt;=MAYBE_THRESHOLD,"Maybe","Reject")))))))</f>
        <v/>
      </c>
      <c r="AE10" s="14" t="n"/>
      <c r="AF10" s="14" t="n"/>
      <c r="AG10" s="14" t="n"/>
      <c r="AH10" s="14" t="n"/>
      <c r="AI10" s="15" t="n"/>
      <c r="AJ10">
        <f>IF(AC10="",-9999-ROW()*0.0000001,AC10-ROW()*0.0000001)</f>
        <v/>
      </c>
      <c r="AK10">
        <f>IF(OR(AC10="",P10="",P10&gt;MAX_PRICE),-9999-ROW()*0.0000001,AC10-ROW()*0.0000001)</f>
        <v/>
      </c>
      <c r="AL10">
        <f>IF(AC10="",-9999-ROW()*0.0000001,X10*1000+AC10-ROW()*0.0000001)</f>
        <v/>
      </c>
      <c r="AM10">
        <f>IF(AC10="",-9999-ROW()*0.0000001,Y10*1000+AC10-ROW()*0.0000001)</f>
        <v/>
      </c>
      <c r="AN10">
        <f>IF(AND(OR(AD10="Maybe",AD10="Price Review"),AG10&lt;&gt;"Approved",AG10&lt;&gt;"Rejected"),IF(AC10="",0,AC10)-ROW()*0.0000001,-9999-ROW()*0.0000001)</f>
        <v/>
      </c>
    </row>
    <row r="11">
      <c r="A11" s="9">
        <f>IF(C11="","","AYN-"&amp;UPPER(LEFT(E11,3))&amp;"-"&amp;TEXT(ROW()-2,"000"))</f>
        <v/>
      </c>
      <c r="B11" s="10" t="n"/>
      <c r="C11" s="9" t="n"/>
      <c r="D11" s="9" t="n"/>
      <c r="E11" s="9" t="n"/>
      <c r="F11" s="9" t="n"/>
      <c r="G11" s="9" t="n"/>
      <c r="H11" s="9" t="n"/>
      <c r="I11" s="9" t="n"/>
      <c r="J11" s="9" t="n"/>
      <c r="K11" s="11">
        <f>IF(I11="","",IF(J11="BDT",I11,IF(J11="USD",I11*USD_BDT,IF(J11="RMB",I11*RMB_BDT,""))))</f>
        <v/>
      </c>
      <c r="L11" s="11" t="n"/>
      <c r="M11" s="12" t="n"/>
      <c r="N11" s="11" t="n"/>
      <c r="O11" s="11">
        <f>IF(K11="","",K11+IFERROR(L11,0)+(K11*IF(M11="",CUSTOMS_PCT,M11))+IF(N11="",MISC_FEE,N11))</f>
        <v/>
      </c>
      <c r="P11" s="11">
        <f>IF(O11="","",ROUND(O11*(1+MARKUP_PCT),-1)-1)</f>
        <v/>
      </c>
      <c r="Q11" s="11">
        <f>IF(P11="","",P11-O11)</f>
        <v/>
      </c>
      <c r="R11" s="12">
        <f>IF(OR(P11="",P11=0),"",Q11/P11)</f>
        <v/>
      </c>
      <c r="S11" s="9" t="n"/>
      <c r="T11" s="9" t="n"/>
      <c r="U11" s="9" t="n"/>
      <c r="V11" s="9" t="n"/>
      <c r="W11" s="9" t="n"/>
      <c r="X11" s="9" t="n"/>
      <c r="Y11" s="9" t="n"/>
      <c r="Z11" s="9" t="n"/>
      <c r="AA11" s="9" t="n"/>
      <c r="AB11" s="9" t="n"/>
      <c r="AC11" s="13">
        <f>IF(COUNT(S11:AB11)&lt;10,"",(S11*W_FEMININE+T11*W_TREND+U11*W_AESTHETIC+V11*W_STYLE+W11*W_LIGHT+X11*W_REELS+Y11*W_GIFT+Z11*W_PRICEFIT+AA11*W_DEMAND+AB11*W_QUALITY)/5*100)</f>
        <v/>
      </c>
      <c r="AD11" s="9">
        <f>IF(P11="","",IF(P11&gt;HARD_REJECT_PRICE,"Reject",IF(P11&gt;MAX_PRICE,"Price Review",IF(AC11="","",IF(AND(AC11&gt;=BUY_THRESHOLD,OR(AB11&lt;=2,U11&lt;=2)),"Maybe",IF(AC11&gt;=BUY_THRESHOLD,"Buy",IF(AC11&gt;=MAYBE_THRESHOLD,"Maybe","Reject")))))))</f>
        <v/>
      </c>
      <c r="AE11" s="9" t="n"/>
      <c r="AF11" s="9" t="n"/>
      <c r="AG11" s="9" t="n"/>
      <c r="AH11" s="9" t="n"/>
      <c r="AI11" s="10" t="n"/>
      <c r="AJ11">
        <f>IF(AC11="",-9999-ROW()*0.0000001,AC11-ROW()*0.0000001)</f>
        <v/>
      </c>
      <c r="AK11">
        <f>IF(OR(AC11="",P11="",P11&gt;MAX_PRICE),-9999-ROW()*0.0000001,AC11-ROW()*0.0000001)</f>
        <v/>
      </c>
      <c r="AL11">
        <f>IF(AC11="",-9999-ROW()*0.0000001,X11*1000+AC11-ROW()*0.0000001)</f>
        <v/>
      </c>
      <c r="AM11">
        <f>IF(AC11="",-9999-ROW()*0.0000001,Y11*1000+AC11-ROW()*0.0000001)</f>
        <v/>
      </c>
      <c r="AN11">
        <f>IF(AND(OR(AD11="Maybe",AD11="Price Review"),AG11&lt;&gt;"Approved",AG11&lt;&gt;"Rejected"),IF(AC11="",0,AC11)-ROW()*0.0000001,-9999-ROW()*0.0000001)</f>
        <v/>
      </c>
    </row>
    <row r="12">
      <c r="A12" s="14">
        <f>IF(C12="","","AYN-"&amp;UPPER(LEFT(E12,3))&amp;"-"&amp;TEXT(ROW()-2,"000"))</f>
        <v/>
      </c>
      <c r="B12" s="15" t="n"/>
      <c r="C12" s="14" t="n"/>
      <c r="D12" s="14" t="n"/>
      <c r="E12" s="14" t="n"/>
      <c r="F12" s="14" t="n"/>
      <c r="G12" s="14" t="n"/>
      <c r="H12" s="14" t="n"/>
      <c r="I12" s="14" t="n"/>
      <c r="J12" s="14" t="n"/>
      <c r="K12" s="16">
        <f>IF(I12="","",IF(J12="BDT",I12,IF(J12="USD",I12*USD_BDT,IF(J12="RMB",I12*RMB_BDT,""))))</f>
        <v/>
      </c>
      <c r="L12" s="16" t="n"/>
      <c r="M12" s="17" t="n"/>
      <c r="N12" s="16" t="n"/>
      <c r="O12" s="16">
        <f>IF(K12="","",K12+IFERROR(L12,0)+(K12*IF(M12="",CUSTOMS_PCT,M12))+IF(N12="",MISC_FEE,N12))</f>
        <v/>
      </c>
      <c r="P12" s="16">
        <f>IF(O12="","",ROUND(O12*(1+MARKUP_PCT),-1)-1)</f>
        <v/>
      </c>
      <c r="Q12" s="16">
        <f>IF(P12="","",P12-O12)</f>
        <v/>
      </c>
      <c r="R12" s="17">
        <f>IF(OR(P12="",P12=0),"",Q12/P12)</f>
        <v/>
      </c>
      <c r="S12" s="14" t="n"/>
      <c r="T12" s="14" t="n"/>
      <c r="U12" s="14" t="n"/>
      <c r="V12" s="14" t="n"/>
      <c r="W12" s="14" t="n"/>
      <c r="X12" s="14" t="n"/>
      <c r="Y12" s="14" t="n"/>
      <c r="Z12" s="14" t="n"/>
      <c r="AA12" s="14" t="n"/>
      <c r="AB12" s="14" t="n"/>
      <c r="AC12" s="18">
        <f>IF(COUNT(S12:AB12)&lt;10,"",(S12*W_FEMININE+T12*W_TREND+U12*W_AESTHETIC+V12*W_STYLE+W12*W_LIGHT+X12*W_REELS+Y12*W_GIFT+Z12*W_PRICEFIT+AA12*W_DEMAND+AB12*W_QUALITY)/5*100)</f>
        <v/>
      </c>
      <c r="AD12" s="14">
        <f>IF(P12="","",IF(P12&gt;HARD_REJECT_PRICE,"Reject",IF(P12&gt;MAX_PRICE,"Price Review",IF(AC12="","",IF(AND(AC12&gt;=BUY_THRESHOLD,OR(AB12&lt;=2,U12&lt;=2)),"Maybe",IF(AC12&gt;=BUY_THRESHOLD,"Buy",IF(AC12&gt;=MAYBE_THRESHOLD,"Maybe","Reject")))))))</f>
        <v/>
      </c>
      <c r="AE12" s="14" t="n"/>
      <c r="AF12" s="14" t="n"/>
      <c r="AG12" s="14" t="n"/>
      <c r="AH12" s="14" t="n"/>
      <c r="AI12" s="15" t="n"/>
      <c r="AJ12">
        <f>IF(AC12="",-9999-ROW()*0.0000001,AC12-ROW()*0.0000001)</f>
        <v/>
      </c>
      <c r="AK12">
        <f>IF(OR(AC12="",P12="",P12&gt;MAX_PRICE),-9999-ROW()*0.0000001,AC12-ROW()*0.0000001)</f>
        <v/>
      </c>
      <c r="AL12">
        <f>IF(AC12="",-9999-ROW()*0.0000001,X12*1000+AC12-ROW()*0.0000001)</f>
        <v/>
      </c>
      <c r="AM12">
        <f>IF(AC12="",-9999-ROW()*0.0000001,Y12*1000+AC12-ROW()*0.0000001)</f>
        <v/>
      </c>
      <c r="AN12">
        <f>IF(AND(OR(AD12="Maybe",AD12="Price Review"),AG12&lt;&gt;"Approved",AG12&lt;&gt;"Rejected"),IF(AC12="",0,AC12)-ROW()*0.0000001,-9999-ROW()*0.0000001)</f>
        <v/>
      </c>
    </row>
    <row r="13">
      <c r="A13" s="9">
        <f>IF(C13="","","AYN-"&amp;UPPER(LEFT(E13,3))&amp;"-"&amp;TEXT(ROW()-2,"000"))</f>
        <v/>
      </c>
      <c r="B13" s="10" t="n"/>
      <c r="C13" s="9" t="n"/>
      <c r="D13" s="9" t="n"/>
      <c r="E13" s="9" t="n"/>
      <c r="F13" s="9" t="n"/>
      <c r="G13" s="9" t="n"/>
      <c r="H13" s="9" t="n"/>
      <c r="I13" s="9" t="n"/>
      <c r="J13" s="9" t="n"/>
      <c r="K13" s="11">
        <f>IF(I13="","",IF(J13="BDT",I13,IF(J13="USD",I13*USD_BDT,IF(J13="RMB",I13*RMB_BDT,""))))</f>
        <v/>
      </c>
      <c r="L13" s="11" t="n"/>
      <c r="M13" s="12" t="n"/>
      <c r="N13" s="11" t="n"/>
      <c r="O13" s="11">
        <f>IF(K13="","",K13+IFERROR(L13,0)+(K13*IF(M13="",CUSTOMS_PCT,M13))+IF(N13="",MISC_FEE,N13))</f>
        <v/>
      </c>
      <c r="P13" s="11">
        <f>IF(O13="","",ROUND(O13*(1+MARKUP_PCT),-1)-1)</f>
        <v/>
      </c>
      <c r="Q13" s="11">
        <f>IF(P13="","",P13-O13)</f>
        <v/>
      </c>
      <c r="R13" s="12">
        <f>IF(OR(P13="",P13=0),"",Q13/P13)</f>
        <v/>
      </c>
      <c r="S13" s="9" t="n"/>
      <c r="T13" s="9" t="n"/>
      <c r="U13" s="9" t="n"/>
      <c r="V13" s="9" t="n"/>
      <c r="W13" s="9" t="n"/>
      <c r="X13" s="9" t="n"/>
      <c r="Y13" s="9" t="n"/>
      <c r="Z13" s="9" t="n"/>
      <c r="AA13" s="9" t="n"/>
      <c r="AB13" s="9" t="n"/>
      <c r="AC13" s="13">
        <f>IF(COUNT(S13:AB13)&lt;10,"",(S13*W_FEMININE+T13*W_TREND+U13*W_AESTHETIC+V13*W_STYLE+W13*W_LIGHT+X13*W_REELS+Y13*W_GIFT+Z13*W_PRICEFIT+AA13*W_DEMAND+AB13*W_QUALITY)/5*100)</f>
        <v/>
      </c>
      <c r="AD13" s="9">
        <f>IF(P13="","",IF(P13&gt;HARD_REJECT_PRICE,"Reject",IF(P13&gt;MAX_PRICE,"Price Review",IF(AC13="","",IF(AND(AC13&gt;=BUY_THRESHOLD,OR(AB13&lt;=2,U13&lt;=2)),"Maybe",IF(AC13&gt;=BUY_THRESHOLD,"Buy",IF(AC13&gt;=MAYBE_THRESHOLD,"Maybe","Reject")))))))</f>
        <v/>
      </c>
      <c r="AE13" s="9" t="n"/>
      <c r="AF13" s="9" t="n"/>
      <c r="AG13" s="9" t="n"/>
      <c r="AH13" s="9" t="n"/>
      <c r="AI13" s="10" t="n"/>
      <c r="AJ13">
        <f>IF(AC13="",-9999-ROW()*0.0000001,AC13-ROW()*0.0000001)</f>
        <v/>
      </c>
      <c r="AK13">
        <f>IF(OR(AC13="",P13="",P13&gt;MAX_PRICE),-9999-ROW()*0.0000001,AC13-ROW()*0.0000001)</f>
        <v/>
      </c>
      <c r="AL13">
        <f>IF(AC13="",-9999-ROW()*0.0000001,X13*1000+AC13-ROW()*0.0000001)</f>
        <v/>
      </c>
      <c r="AM13">
        <f>IF(AC13="",-9999-ROW()*0.0000001,Y13*1000+AC13-ROW()*0.0000001)</f>
        <v/>
      </c>
      <c r="AN13">
        <f>IF(AND(OR(AD13="Maybe",AD13="Price Review"),AG13&lt;&gt;"Approved",AG13&lt;&gt;"Rejected"),IF(AC13="",0,AC13)-ROW()*0.0000001,-9999-ROW()*0.0000001)</f>
        <v/>
      </c>
    </row>
    <row r="14">
      <c r="A14" s="14">
        <f>IF(C14="","","AYN-"&amp;UPPER(LEFT(E14,3))&amp;"-"&amp;TEXT(ROW()-2,"000"))</f>
        <v/>
      </c>
      <c r="B14" s="15" t="n"/>
      <c r="C14" s="14" t="n"/>
      <c r="D14" s="14" t="n"/>
      <c r="E14" s="14" t="n"/>
      <c r="F14" s="14" t="n"/>
      <c r="G14" s="14" t="n"/>
      <c r="H14" s="14" t="n"/>
      <c r="I14" s="14" t="n"/>
      <c r="J14" s="14" t="n"/>
      <c r="K14" s="16">
        <f>IF(I14="","",IF(J14="BDT",I14,IF(J14="USD",I14*USD_BDT,IF(J14="RMB",I14*RMB_BDT,""))))</f>
        <v/>
      </c>
      <c r="L14" s="16" t="n"/>
      <c r="M14" s="17" t="n"/>
      <c r="N14" s="16" t="n"/>
      <c r="O14" s="16">
        <f>IF(K14="","",K14+IFERROR(L14,0)+(K14*IF(M14="",CUSTOMS_PCT,M14))+IF(N14="",MISC_FEE,N14))</f>
        <v/>
      </c>
      <c r="P14" s="16">
        <f>IF(O14="","",ROUND(O14*(1+MARKUP_PCT),-1)-1)</f>
        <v/>
      </c>
      <c r="Q14" s="16">
        <f>IF(P14="","",P14-O14)</f>
        <v/>
      </c>
      <c r="R14" s="17">
        <f>IF(OR(P14="",P14=0),"",Q14/P14)</f>
        <v/>
      </c>
      <c r="S14" s="14" t="n"/>
      <c r="T14" s="14" t="n"/>
      <c r="U14" s="14" t="n"/>
      <c r="V14" s="14" t="n"/>
      <c r="W14" s="14" t="n"/>
      <c r="X14" s="14" t="n"/>
      <c r="Y14" s="14" t="n"/>
      <c r="Z14" s="14" t="n"/>
      <c r="AA14" s="14" t="n"/>
      <c r="AB14" s="14" t="n"/>
      <c r="AC14" s="18">
        <f>IF(COUNT(S14:AB14)&lt;10,"",(S14*W_FEMININE+T14*W_TREND+U14*W_AESTHETIC+V14*W_STYLE+W14*W_LIGHT+X14*W_REELS+Y14*W_GIFT+Z14*W_PRICEFIT+AA14*W_DEMAND+AB14*W_QUALITY)/5*100)</f>
        <v/>
      </c>
      <c r="AD14" s="14">
        <f>IF(P14="","",IF(P14&gt;HARD_REJECT_PRICE,"Reject",IF(P14&gt;MAX_PRICE,"Price Review",IF(AC14="","",IF(AND(AC14&gt;=BUY_THRESHOLD,OR(AB14&lt;=2,U14&lt;=2)),"Maybe",IF(AC14&gt;=BUY_THRESHOLD,"Buy",IF(AC14&gt;=MAYBE_THRESHOLD,"Maybe","Reject")))))))</f>
        <v/>
      </c>
      <c r="AE14" s="14" t="n"/>
      <c r="AF14" s="14" t="n"/>
      <c r="AG14" s="14" t="n"/>
      <c r="AH14" s="14" t="n"/>
      <c r="AI14" s="15" t="n"/>
      <c r="AJ14">
        <f>IF(AC14="",-9999-ROW()*0.0000001,AC14-ROW()*0.0000001)</f>
        <v/>
      </c>
      <c r="AK14">
        <f>IF(OR(AC14="",P14="",P14&gt;MAX_PRICE),-9999-ROW()*0.0000001,AC14-ROW()*0.0000001)</f>
        <v/>
      </c>
      <c r="AL14">
        <f>IF(AC14="",-9999-ROW()*0.0000001,X14*1000+AC14-ROW()*0.0000001)</f>
        <v/>
      </c>
      <c r="AM14">
        <f>IF(AC14="",-9999-ROW()*0.0000001,Y14*1000+AC14-ROW()*0.0000001)</f>
        <v/>
      </c>
      <c r="AN14">
        <f>IF(AND(OR(AD14="Maybe",AD14="Price Review"),AG14&lt;&gt;"Approved",AG14&lt;&gt;"Rejected"),IF(AC14="",0,AC14)-ROW()*0.0000001,-9999-ROW()*0.0000001)</f>
        <v/>
      </c>
    </row>
    <row r="15">
      <c r="A15" s="9">
        <f>IF(C15="","","AYN-"&amp;UPPER(LEFT(E15,3))&amp;"-"&amp;TEXT(ROW()-2,"000"))</f>
        <v/>
      </c>
      <c r="B15" s="10" t="n"/>
      <c r="C15" s="9" t="n"/>
      <c r="D15" s="9" t="n"/>
      <c r="E15" s="9" t="n"/>
      <c r="F15" s="9" t="n"/>
      <c r="G15" s="9" t="n"/>
      <c r="H15" s="9" t="n"/>
      <c r="I15" s="9" t="n"/>
      <c r="J15" s="9" t="n"/>
      <c r="K15" s="11">
        <f>IF(I15="","",IF(J15="BDT",I15,IF(J15="USD",I15*USD_BDT,IF(J15="RMB",I15*RMB_BDT,""))))</f>
        <v/>
      </c>
      <c r="L15" s="11" t="n"/>
      <c r="M15" s="12" t="n"/>
      <c r="N15" s="11" t="n"/>
      <c r="O15" s="11">
        <f>IF(K15="","",K15+IFERROR(L15,0)+(K15*IF(M15="",CUSTOMS_PCT,M15))+IF(N15="",MISC_FEE,N15))</f>
        <v/>
      </c>
      <c r="P15" s="11">
        <f>IF(O15="","",ROUND(O15*(1+MARKUP_PCT),-1)-1)</f>
        <v/>
      </c>
      <c r="Q15" s="11">
        <f>IF(P15="","",P15-O15)</f>
        <v/>
      </c>
      <c r="R15" s="12">
        <f>IF(OR(P15="",P15=0),"",Q15/P15)</f>
        <v/>
      </c>
      <c r="S15" s="9" t="n"/>
      <c r="T15" s="9" t="n"/>
      <c r="U15" s="9" t="n"/>
      <c r="V15" s="9" t="n"/>
      <c r="W15" s="9" t="n"/>
      <c r="X15" s="9" t="n"/>
      <c r="Y15" s="9" t="n"/>
      <c r="Z15" s="9" t="n"/>
      <c r="AA15" s="9" t="n"/>
      <c r="AB15" s="9" t="n"/>
      <c r="AC15" s="13">
        <f>IF(COUNT(S15:AB15)&lt;10,"",(S15*W_FEMININE+T15*W_TREND+U15*W_AESTHETIC+V15*W_STYLE+W15*W_LIGHT+X15*W_REELS+Y15*W_GIFT+Z15*W_PRICEFIT+AA15*W_DEMAND+AB15*W_QUALITY)/5*100)</f>
        <v/>
      </c>
      <c r="AD15" s="9">
        <f>IF(P15="","",IF(P15&gt;HARD_REJECT_PRICE,"Reject",IF(P15&gt;MAX_PRICE,"Price Review",IF(AC15="","",IF(AND(AC15&gt;=BUY_THRESHOLD,OR(AB15&lt;=2,U15&lt;=2)),"Maybe",IF(AC15&gt;=BUY_THRESHOLD,"Buy",IF(AC15&gt;=MAYBE_THRESHOLD,"Maybe","Reject")))))))</f>
        <v/>
      </c>
      <c r="AE15" s="9" t="n"/>
      <c r="AF15" s="9" t="n"/>
      <c r="AG15" s="9" t="n"/>
      <c r="AH15" s="9" t="n"/>
      <c r="AI15" s="10" t="n"/>
      <c r="AJ15">
        <f>IF(AC15="",-9999-ROW()*0.0000001,AC15-ROW()*0.0000001)</f>
        <v/>
      </c>
      <c r="AK15">
        <f>IF(OR(AC15="",P15="",P15&gt;MAX_PRICE),-9999-ROW()*0.0000001,AC15-ROW()*0.0000001)</f>
        <v/>
      </c>
      <c r="AL15">
        <f>IF(AC15="",-9999-ROW()*0.0000001,X15*1000+AC15-ROW()*0.0000001)</f>
        <v/>
      </c>
      <c r="AM15">
        <f>IF(AC15="",-9999-ROW()*0.0000001,Y15*1000+AC15-ROW()*0.0000001)</f>
        <v/>
      </c>
      <c r="AN15">
        <f>IF(AND(OR(AD15="Maybe",AD15="Price Review"),AG15&lt;&gt;"Approved",AG15&lt;&gt;"Rejected"),IF(AC15="",0,AC15)-ROW()*0.0000001,-9999-ROW()*0.0000001)</f>
        <v/>
      </c>
    </row>
    <row r="16">
      <c r="A16" s="14">
        <f>IF(C16="","","AYN-"&amp;UPPER(LEFT(E16,3))&amp;"-"&amp;TEXT(ROW()-2,"000"))</f>
        <v/>
      </c>
      <c r="B16" s="15" t="n"/>
      <c r="C16" s="14" t="n"/>
      <c r="D16" s="14" t="n"/>
      <c r="E16" s="14" t="n"/>
      <c r="F16" s="14" t="n"/>
      <c r="G16" s="14" t="n"/>
      <c r="H16" s="14" t="n"/>
      <c r="I16" s="14" t="n"/>
      <c r="J16" s="14" t="n"/>
      <c r="K16" s="16">
        <f>IF(I16="","",IF(J16="BDT",I16,IF(J16="USD",I16*USD_BDT,IF(J16="RMB",I16*RMB_BDT,""))))</f>
        <v/>
      </c>
      <c r="L16" s="16" t="n"/>
      <c r="M16" s="17" t="n"/>
      <c r="N16" s="16" t="n"/>
      <c r="O16" s="16">
        <f>IF(K16="","",K16+IFERROR(L16,0)+(K16*IF(M16="",CUSTOMS_PCT,M16))+IF(N16="",MISC_FEE,N16))</f>
        <v/>
      </c>
      <c r="P16" s="16">
        <f>IF(O16="","",ROUND(O16*(1+MARKUP_PCT),-1)-1)</f>
        <v/>
      </c>
      <c r="Q16" s="16">
        <f>IF(P16="","",P16-O16)</f>
        <v/>
      </c>
      <c r="R16" s="17">
        <f>IF(OR(P16="",P16=0),"",Q16/P16)</f>
        <v/>
      </c>
      <c r="S16" s="14" t="n"/>
      <c r="T16" s="14" t="n"/>
      <c r="U16" s="14" t="n"/>
      <c r="V16" s="14" t="n"/>
      <c r="W16" s="14" t="n"/>
      <c r="X16" s="14" t="n"/>
      <c r="Y16" s="14" t="n"/>
      <c r="Z16" s="14" t="n"/>
      <c r="AA16" s="14" t="n"/>
      <c r="AB16" s="14" t="n"/>
      <c r="AC16" s="18">
        <f>IF(COUNT(S16:AB16)&lt;10,"",(S16*W_FEMININE+T16*W_TREND+U16*W_AESTHETIC+V16*W_STYLE+W16*W_LIGHT+X16*W_REELS+Y16*W_GIFT+Z16*W_PRICEFIT+AA16*W_DEMAND+AB16*W_QUALITY)/5*100)</f>
        <v/>
      </c>
      <c r="AD16" s="14">
        <f>IF(P16="","",IF(P16&gt;HARD_REJECT_PRICE,"Reject",IF(P16&gt;MAX_PRICE,"Price Review",IF(AC16="","",IF(AND(AC16&gt;=BUY_THRESHOLD,OR(AB16&lt;=2,U16&lt;=2)),"Maybe",IF(AC16&gt;=BUY_THRESHOLD,"Buy",IF(AC16&gt;=MAYBE_THRESHOLD,"Maybe","Reject")))))))</f>
        <v/>
      </c>
      <c r="AE16" s="14" t="n"/>
      <c r="AF16" s="14" t="n"/>
      <c r="AG16" s="14" t="n"/>
      <c r="AH16" s="14" t="n"/>
      <c r="AI16" s="15" t="n"/>
      <c r="AJ16">
        <f>IF(AC16="",-9999-ROW()*0.0000001,AC16-ROW()*0.0000001)</f>
        <v/>
      </c>
      <c r="AK16">
        <f>IF(OR(AC16="",P16="",P16&gt;MAX_PRICE),-9999-ROW()*0.0000001,AC16-ROW()*0.0000001)</f>
        <v/>
      </c>
      <c r="AL16">
        <f>IF(AC16="",-9999-ROW()*0.0000001,X16*1000+AC16-ROW()*0.0000001)</f>
        <v/>
      </c>
      <c r="AM16">
        <f>IF(AC16="",-9999-ROW()*0.0000001,Y16*1000+AC16-ROW()*0.0000001)</f>
        <v/>
      </c>
      <c r="AN16">
        <f>IF(AND(OR(AD16="Maybe",AD16="Price Review"),AG16&lt;&gt;"Approved",AG16&lt;&gt;"Rejected"),IF(AC16="",0,AC16)-ROW()*0.0000001,-9999-ROW()*0.0000001)</f>
        <v/>
      </c>
    </row>
    <row r="17">
      <c r="A17" s="9">
        <f>IF(C17="","","AYN-"&amp;UPPER(LEFT(E17,3))&amp;"-"&amp;TEXT(ROW()-2,"000"))</f>
        <v/>
      </c>
      <c r="B17" s="10" t="n"/>
      <c r="C17" s="9" t="n"/>
      <c r="D17" s="9" t="n"/>
      <c r="E17" s="9" t="n"/>
      <c r="F17" s="9" t="n"/>
      <c r="G17" s="9" t="n"/>
      <c r="H17" s="9" t="n"/>
      <c r="I17" s="9" t="n"/>
      <c r="J17" s="9" t="n"/>
      <c r="K17" s="11">
        <f>IF(I17="","",IF(J17="BDT",I17,IF(J17="USD",I17*USD_BDT,IF(J17="RMB",I17*RMB_BDT,""))))</f>
        <v/>
      </c>
      <c r="L17" s="11" t="n"/>
      <c r="M17" s="12" t="n"/>
      <c r="N17" s="11" t="n"/>
      <c r="O17" s="11">
        <f>IF(K17="","",K17+IFERROR(L17,0)+(K17*IF(M17="",CUSTOMS_PCT,M17))+IF(N17="",MISC_FEE,N17))</f>
        <v/>
      </c>
      <c r="P17" s="11">
        <f>IF(O17="","",ROUND(O17*(1+MARKUP_PCT),-1)-1)</f>
        <v/>
      </c>
      <c r="Q17" s="11">
        <f>IF(P17="","",P17-O17)</f>
        <v/>
      </c>
      <c r="R17" s="12">
        <f>IF(OR(P17="",P17=0),"",Q17/P17)</f>
        <v/>
      </c>
      <c r="S17" s="9" t="n"/>
      <c r="T17" s="9" t="n"/>
      <c r="U17" s="9" t="n"/>
      <c r="V17" s="9" t="n"/>
      <c r="W17" s="9" t="n"/>
      <c r="X17" s="9" t="n"/>
      <c r="Y17" s="9" t="n"/>
      <c r="Z17" s="9" t="n"/>
      <c r="AA17" s="9" t="n"/>
      <c r="AB17" s="9" t="n"/>
      <c r="AC17" s="13">
        <f>IF(COUNT(S17:AB17)&lt;10,"",(S17*W_FEMININE+T17*W_TREND+U17*W_AESTHETIC+V17*W_STYLE+W17*W_LIGHT+X17*W_REELS+Y17*W_GIFT+Z17*W_PRICEFIT+AA17*W_DEMAND+AB17*W_QUALITY)/5*100)</f>
        <v/>
      </c>
      <c r="AD17" s="9">
        <f>IF(P17="","",IF(P17&gt;HARD_REJECT_PRICE,"Reject",IF(P17&gt;MAX_PRICE,"Price Review",IF(AC17="","",IF(AND(AC17&gt;=BUY_THRESHOLD,OR(AB17&lt;=2,U17&lt;=2)),"Maybe",IF(AC17&gt;=BUY_THRESHOLD,"Buy",IF(AC17&gt;=MAYBE_THRESHOLD,"Maybe","Reject")))))))</f>
        <v/>
      </c>
      <c r="AE17" s="9" t="n"/>
      <c r="AF17" s="9" t="n"/>
      <c r="AG17" s="9" t="n"/>
      <c r="AH17" s="9" t="n"/>
      <c r="AI17" s="10" t="n"/>
      <c r="AJ17">
        <f>IF(AC17="",-9999-ROW()*0.0000001,AC17-ROW()*0.0000001)</f>
        <v/>
      </c>
      <c r="AK17">
        <f>IF(OR(AC17="",P17="",P17&gt;MAX_PRICE),-9999-ROW()*0.0000001,AC17-ROW()*0.0000001)</f>
        <v/>
      </c>
      <c r="AL17">
        <f>IF(AC17="",-9999-ROW()*0.0000001,X17*1000+AC17-ROW()*0.0000001)</f>
        <v/>
      </c>
      <c r="AM17">
        <f>IF(AC17="",-9999-ROW()*0.0000001,Y17*1000+AC17-ROW()*0.0000001)</f>
        <v/>
      </c>
      <c r="AN17">
        <f>IF(AND(OR(AD17="Maybe",AD17="Price Review"),AG17&lt;&gt;"Approved",AG17&lt;&gt;"Rejected"),IF(AC17="",0,AC17)-ROW()*0.0000001,-9999-ROW()*0.0000001)</f>
        <v/>
      </c>
    </row>
    <row r="18">
      <c r="A18" s="14">
        <f>IF(C18="","","AYN-"&amp;UPPER(LEFT(E18,3))&amp;"-"&amp;TEXT(ROW()-2,"000"))</f>
        <v/>
      </c>
      <c r="B18" s="15" t="n"/>
      <c r="C18" s="14" t="n"/>
      <c r="D18" s="14" t="n"/>
      <c r="E18" s="14" t="n"/>
      <c r="F18" s="14" t="n"/>
      <c r="G18" s="14" t="n"/>
      <c r="H18" s="14" t="n"/>
      <c r="I18" s="14" t="n"/>
      <c r="J18" s="14" t="n"/>
      <c r="K18" s="16">
        <f>IF(I18="","",IF(J18="BDT",I18,IF(J18="USD",I18*USD_BDT,IF(J18="RMB",I18*RMB_BDT,""))))</f>
        <v/>
      </c>
      <c r="L18" s="16" t="n"/>
      <c r="M18" s="17" t="n"/>
      <c r="N18" s="16" t="n"/>
      <c r="O18" s="16">
        <f>IF(K18="","",K18+IFERROR(L18,0)+(K18*IF(M18="",CUSTOMS_PCT,M18))+IF(N18="",MISC_FEE,N18))</f>
        <v/>
      </c>
      <c r="P18" s="16">
        <f>IF(O18="","",ROUND(O18*(1+MARKUP_PCT),-1)-1)</f>
        <v/>
      </c>
      <c r="Q18" s="16">
        <f>IF(P18="","",P18-O18)</f>
        <v/>
      </c>
      <c r="R18" s="17">
        <f>IF(OR(P18="",P18=0),"",Q18/P18)</f>
        <v/>
      </c>
      <c r="S18" s="14" t="n"/>
      <c r="T18" s="14" t="n"/>
      <c r="U18" s="14" t="n"/>
      <c r="V18" s="14" t="n"/>
      <c r="W18" s="14" t="n"/>
      <c r="X18" s="14" t="n"/>
      <c r="Y18" s="14" t="n"/>
      <c r="Z18" s="14" t="n"/>
      <c r="AA18" s="14" t="n"/>
      <c r="AB18" s="14" t="n"/>
      <c r="AC18" s="18">
        <f>IF(COUNT(S18:AB18)&lt;10,"",(S18*W_FEMININE+T18*W_TREND+U18*W_AESTHETIC+V18*W_STYLE+W18*W_LIGHT+X18*W_REELS+Y18*W_GIFT+Z18*W_PRICEFIT+AA18*W_DEMAND+AB18*W_QUALITY)/5*100)</f>
        <v/>
      </c>
      <c r="AD18" s="14">
        <f>IF(P18="","",IF(P18&gt;HARD_REJECT_PRICE,"Reject",IF(P18&gt;MAX_PRICE,"Price Review",IF(AC18="","",IF(AND(AC18&gt;=BUY_THRESHOLD,OR(AB18&lt;=2,U18&lt;=2)),"Maybe",IF(AC18&gt;=BUY_THRESHOLD,"Buy",IF(AC18&gt;=MAYBE_THRESHOLD,"Maybe","Reject")))))))</f>
        <v/>
      </c>
      <c r="AE18" s="14" t="n"/>
      <c r="AF18" s="14" t="n"/>
      <c r="AG18" s="14" t="n"/>
      <c r="AH18" s="14" t="n"/>
      <c r="AI18" s="15" t="n"/>
      <c r="AJ18">
        <f>IF(AC18="",-9999-ROW()*0.0000001,AC18-ROW()*0.0000001)</f>
        <v/>
      </c>
      <c r="AK18">
        <f>IF(OR(AC18="",P18="",P18&gt;MAX_PRICE),-9999-ROW()*0.0000001,AC18-ROW()*0.0000001)</f>
        <v/>
      </c>
      <c r="AL18">
        <f>IF(AC18="",-9999-ROW()*0.0000001,X18*1000+AC18-ROW()*0.0000001)</f>
        <v/>
      </c>
      <c r="AM18">
        <f>IF(AC18="",-9999-ROW()*0.0000001,Y18*1000+AC18-ROW()*0.0000001)</f>
        <v/>
      </c>
      <c r="AN18">
        <f>IF(AND(OR(AD18="Maybe",AD18="Price Review"),AG18&lt;&gt;"Approved",AG18&lt;&gt;"Rejected"),IF(AC18="",0,AC18)-ROW()*0.0000001,-9999-ROW()*0.0000001)</f>
        <v/>
      </c>
    </row>
    <row r="19">
      <c r="A19" s="9">
        <f>IF(C19="","","AYN-"&amp;UPPER(LEFT(E19,3))&amp;"-"&amp;TEXT(ROW()-2,"000"))</f>
        <v/>
      </c>
      <c r="B19" s="10" t="n"/>
      <c r="C19" s="9" t="n"/>
      <c r="D19" s="9" t="n"/>
      <c r="E19" s="9" t="n"/>
      <c r="F19" s="9" t="n"/>
      <c r="G19" s="9" t="n"/>
      <c r="H19" s="9" t="n"/>
      <c r="I19" s="9" t="n"/>
      <c r="J19" s="9" t="n"/>
      <c r="K19" s="11">
        <f>IF(I19="","",IF(J19="BDT",I19,IF(J19="USD",I19*USD_BDT,IF(J19="RMB",I19*RMB_BDT,""))))</f>
        <v/>
      </c>
      <c r="L19" s="11" t="n"/>
      <c r="M19" s="12" t="n"/>
      <c r="N19" s="11" t="n"/>
      <c r="O19" s="11">
        <f>IF(K19="","",K19+IFERROR(L19,0)+(K19*IF(M19="",CUSTOMS_PCT,M19))+IF(N19="",MISC_FEE,N19))</f>
        <v/>
      </c>
      <c r="P19" s="11">
        <f>IF(O19="","",ROUND(O19*(1+MARKUP_PCT),-1)-1)</f>
        <v/>
      </c>
      <c r="Q19" s="11">
        <f>IF(P19="","",P19-O19)</f>
        <v/>
      </c>
      <c r="R19" s="12">
        <f>IF(OR(P19="",P19=0),"",Q19/P19)</f>
        <v/>
      </c>
      <c r="S19" s="9" t="n"/>
      <c r="T19" s="9" t="n"/>
      <c r="U19" s="9" t="n"/>
      <c r="V19" s="9" t="n"/>
      <c r="W19" s="9" t="n"/>
      <c r="X19" s="9" t="n"/>
      <c r="Y19" s="9" t="n"/>
      <c r="Z19" s="9" t="n"/>
      <c r="AA19" s="9" t="n"/>
      <c r="AB19" s="9" t="n"/>
      <c r="AC19" s="13">
        <f>IF(COUNT(S19:AB19)&lt;10,"",(S19*W_FEMININE+T19*W_TREND+U19*W_AESTHETIC+V19*W_STYLE+W19*W_LIGHT+X19*W_REELS+Y19*W_GIFT+Z19*W_PRICEFIT+AA19*W_DEMAND+AB19*W_QUALITY)/5*100)</f>
        <v/>
      </c>
      <c r="AD19" s="9">
        <f>IF(P19="","",IF(P19&gt;HARD_REJECT_PRICE,"Reject",IF(P19&gt;MAX_PRICE,"Price Review",IF(AC19="","",IF(AND(AC19&gt;=BUY_THRESHOLD,OR(AB19&lt;=2,U19&lt;=2)),"Maybe",IF(AC19&gt;=BUY_THRESHOLD,"Buy",IF(AC19&gt;=MAYBE_THRESHOLD,"Maybe","Reject")))))))</f>
        <v/>
      </c>
      <c r="AE19" s="9" t="n"/>
      <c r="AF19" s="9" t="n"/>
      <c r="AG19" s="9" t="n"/>
      <c r="AH19" s="9" t="n"/>
      <c r="AI19" s="10" t="n"/>
      <c r="AJ19">
        <f>IF(AC19="",-9999-ROW()*0.0000001,AC19-ROW()*0.0000001)</f>
        <v/>
      </c>
      <c r="AK19">
        <f>IF(OR(AC19="",P19="",P19&gt;MAX_PRICE),-9999-ROW()*0.0000001,AC19-ROW()*0.0000001)</f>
        <v/>
      </c>
      <c r="AL19">
        <f>IF(AC19="",-9999-ROW()*0.0000001,X19*1000+AC19-ROW()*0.0000001)</f>
        <v/>
      </c>
      <c r="AM19">
        <f>IF(AC19="",-9999-ROW()*0.0000001,Y19*1000+AC19-ROW()*0.0000001)</f>
        <v/>
      </c>
      <c r="AN19">
        <f>IF(AND(OR(AD19="Maybe",AD19="Price Review"),AG19&lt;&gt;"Approved",AG19&lt;&gt;"Rejected"),IF(AC19="",0,AC19)-ROW()*0.0000001,-9999-ROW()*0.0000001)</f>
        <v/>
      </c>
    </row>
    <row r="20">
      <c r="A20" s="14">
        <f>IF(C20="","","AYN-"&amp;UPPER(LEFT(E20,3))&amp;"-"&amp;TEXT(ROW()-2,"000"))</f>
        <v/>
      </c>
      <c r="B20" s="15" t="n"/>
      <c r="C20" s="14" t="n"/>
      <c r="D20" s="14" t="n"/>
      <c r="E20" s="14" t="n"/>
      <c r="F20" s="14" t="n"/>
      <c r="G20" s="14" t="n"/>
      <c r="H20" s="14" t="n"/>
      <c r="I20" s="14" t="n"/>
      <c r="J20" s="14" t="n"/>
      <c r="K20" s="16">
        <f>IF(I20="","",IF(J20="BDT",I20,IF(J20="USD",I20*USD_BDT,IF(J20="RMB",I20*RMB_BDT,""))))</f>
        <v/>
      </c>
      <c r="L20" s="16" t="n"/>
      <c r="M20" s="17" t="n"/>
      <c r="N20" s="16" t="n"/>
      <c r="O20" s="16">
        <f>IF(K20="","",K20+IFERROR(L20,0)+(K20*IF(M20="",CUSTOMS_PCT,M20))+IF(N20="",MISC_FEE,N20))</f>
        <v/>
      </c>
      <c r="P20" s="16">
        <f>IF(O20="","",ROUND(O20*(1+MARKUP_PCT),-1)-1)</f>
        <v/>
      </c>
      <c r="Q20" s="16">
        <f>IF(P20="","",P20-O20)</f>
        <v/>
      </c>
      <c r="R20" s="17">
        <f>IF(OR(P20="",P20=0),"",Q20/P20)</f>
        <v/>
      </c>
      <c r="S20" s="14" t="n"/>
      <c r="T20" s="14" t="n"/>
      <c r="U20" s="14" t="n"/>
      <c r="V20" s="14" t="n"/>
      <c r="W20" s="14" t="n"/>
      <c r="X20" s="14" t="n"/>
      <c r="Y20" s="14" t="n"/>
      <c r="Z20" s="14" t="n"/>
      <c r="AA20" s="14" t="n"/>
      <c r="AB20" s="14" t="n"/>
      <c r="AC20" s="18">
        <f>IF(COUNT(S20:AB20)&lt;10,"",(S20*W_FEMININE+T20*W_TREND+U20*W_AESTHETIC+V20*W_STYLE+W20*W_LIGHT+X20*W_REELS+Y20*W_GIFT+Z20*W_PRICEFIT+AA20*W_DEMAND+AB20*W_QUALITY)/5*100)</f>
        <v/>
      </c>
      <c r="AD20" s="14">
        <f>IF(P20="","",IF(P20&gt;HARD_REJECT_PRICE,"Reject",IF(P20&gt;MAX_PRICE,"Price Review",IF(AC20="","",IF(AND(AC20&gt;=BUY_THRESHOLD,OR(AB20&lt;=2,U20&lt;=2)),"Maybe",IF(AC20&gt;=BUY_THRESHOLD,"Buy",IF(AC20&gt;=MAYBE_THRESHOLD,"Maybe","Reject")))))))</f>
        <v/>
      </c>
      <c r="AE20" s="14" t="n"/>
      <c r="AF20" s="14" t="n"/>
      <c r="AG20" s="14" t="n"/>
      <c r="AH20" s="14" t="n"/>
      <c r="AI20" s="15" t="n"/>
      <c r="AJ20">
        <f>IF(AC20="",-9999-ROW()*0.0000001,AC20-ROW()*0.0000001)</f>
        <v/>
      </c>
      <c r="AK20">
        <f>IF(OR(AC20="",P20="",P20&gt;MAX_PRICE),-9999-ROW()*0.0000001,AC20-ROW()*0.0000001)</f>
        <v/>
      </c>
      <c r="AL20">
        <f>IF(AC20="",-9999-ROW()*0.0000001,X20*1000+AC20-ROW()*0.0000001)</f>
        <v/>
      </c>
      <c r="AM20">
        <f>IF(AC20="",-9999-ROW()*0.0000001,Y20*1000+AC20-ROW()*0.0000001)</f>
        <v/>
      </c>
      <c r="AN20">
        <f>IF(AND(OR(AD20="Maybe",AD20="Price Review"),AG20&lt;&gt;"Approved",AG20&lt;&gt;"Rejected"),IF(AC20="",0,AC20)-ROW()*0.0000001,-9999-ROW()*0.0000001)</f>
        <v/>
      </c>
    </row>
    <row r="21">
      <c r="A21" s="9">
        <f>IF(C21="","","AYN-"&amp;UPPER(LEFT(E21,3))&amp;"-"&amp;TEXT(ROW()-2,"000"))</f>
        <v/>
      </c>
      <c r="B21" s="10" t="n"/>
      <c r="C21" s="9" t="n"/>
      <c r="D21" s="9" t="n"/>
      <c r="E21" s="9" t="n"/>
      <c r="F21" s="9" t="n"/>
      <c r="G21" s="9" t="n"/>
      <c r="H21" s="9" t="n"/>
      <c r="I21" s="9" t="n"/>
      <c r="J21" s="9" t="n"/>
      <c r="K21" s="11">
        <f>IF(I21="","",IF(J21="BDT",I21,IF(J21="USD",I21*USD_BDT,IF(J21="RMB",I21*RMB_BDT,""))))</f>
        <v/>
      </c>
      <c r="L21" s="11" t="n"/>
      <c r="M21" s="12" t="n"/>
      <c r="N21" s="11" t="n"/>
      <c r="O21" s="11">
        <f>IF(K21="","",K21+IFERROR(L21,0)+(K21*IF(M21="",CUSTOMS_PCT,M21))+IF(N21="",MISC_FEE,N21))</f>
        <v/>
      </c>
      <c r="P21" s="11">
        <f>IF(O21="","",ROUND(O21*(1+MARKUP_PCT),-1)-1)</f>
        <v/>
      </c>
      <c r="Q21" s="11">
        <f>IF(P21="","",P21-O21)</f>
        <v/>
      </c>
      <c r="R21" s="12">
        <f>IF(OR(P21="",P21=0),"",Q21/P21)</f>
        <v/>
      </c>
      <c r="S21" s="9" t="n"/>
      <c r="T21" s="9" t="n"/>
      <c r="U21" s="9" t="n"/>
      <c r="V21" s="9" t="n"/>
      <c r="W21" s="9" t="n"/>
      <c r="X21" s="9" t="n"/>
      <c r="Y21" s="9" t="n"/>
      <c r="Z21" s="9" t="n"/>
      <c r="AA21" s="9" t="n"/>
      <c r="AB21" s="9" t="n"/>
      <c r="AC21" s="13">
        <f>IF(COUNT(S21:AB21)&lt;10,"",(S21*W_FEMININE+T21*W_TREND+U21*W_AESTHETIC+V21*W_STYLE+W21*W_LIGHT+X21*W_REELS+Y21*W_GIFT+Z21*W_PRICEFIT+AA21*W_DEMAND+AB21*W_QUALITY)/5*100)</f>
        <v/>
      </c>
      <c r="AD21" s="9">
        <f>IF(P21="","",IF(P21&gt;HARD_REJECT_PRICE,"Reject",IF(P21&gt;MAX_PRICE,"Price Review",IF(AC21="","",IF(AND(AC21&gt;=BUY_THRESHOLD,OR(AB21&lt;=2,U21&lt;=2)),"Maybe",IF(AC21&gt;=BUY_THRESHOLD,"Buy",IF(AC21&gt;=MAYBE_THRESHOLD,"Maybe","Reject")))))))</f>
        <v/>
      </c>
      <c r="AE21" s="9" t="n"/>
      <c r="AF21" s="9" t="n"/>
      <c r="AG21" s="9" t="n"/>
      <c r="AH21" s="9" t="n"/>
      <c r="AI21" s="10" t="n"/>
      <c r="AJ21">
        <f>IF(AC21="",-9999-ROW()*0.0000001,AC21-ROW()*0.0000001)</f>
        <v/>
      </c>
      <c r="AK21">
        <f>IF(OR(AC21="",P21="",P21&gt;MAX_PRICE),-9999-ROW()*0.0000001,AC21-ROW()*0.0000001)</f>
        <v/>
      </c>
      <c r="AL21">
        <f>IF(AC21="",-9999-ROW()*0.0000001,X21*1000+AC21-ROW()*0.0000001)</f>
        <v/>
      </c>
      <c r="AM21">
        <f>IF(AC21="",-9999-ROW()*0.0000001,Y21*1000+AC21-ROW()*0.0000001)</f>
        <v/>
      </c>
      <c r="AN21">
        <f>IF(AND(OR(AD21="Maybe",AD21="Price Review"),AG21&lt;&gt;"Approved",AG21&lt;&gt;"Rejected"),IF(AC21="",0,AC21)-ROW()*0.0000001,-9999-ROW()*0.0000001)</f>
        <v/>
      </c>
    </row>
    <row r="22">
      <c r="A22" s="14">
        <f>IF(C22="","","AYN-"&amp;UPPER(LEFT(E22,3))&amp;"-"&amp;TEXT(ROW()-2,"000"))</f>
        <v/>
      </c>
      <c r="B22" s="15" t="n"/>
      <c r="C22" s="14" t="n"/>
      <c r="D22" s="14" t="n"/>
      <c r="E22" s="14" t="n"/>
      <c r="F22" s="14" t="n"/>
      <c r="G22" s="14" t="n"/>
      <c r="H22" s="14" t="n"/>
      <c r="I22" s="14" t="n"/>
      <c r="J22" s="14" t="n"/>
      <c r="K22" s="16">
        <f>IF(I22="","",IF(J22="BDT",I22,IF(J22="USD",I22*USD_BDT,IF(J22="RMB",I22*RMB_BDT,""))))</f>
        <v/>
      </c>
      <c r="L22" s="16" t="n"/>
      <c r="M22" s="17" t="n"/>
      <c r="N22" s="16" t="n"/>
      <c r="O22" s="16">
        <f>IF(K22="","",K22+IFERROR(L22,0)+(K22*IF(M22="",CUSTOMS_PCT,M22))+IF(N22="",MISC_FEE,N22))</f>
        <v/>
      </c>
      <c r="P22" s="16">
        <f>IF(O22="","",ROUND(O22*(1+MARKUP_PCT),-1)-1)</f>
        <v/>
      </c>
      <c r="Q22" s="16">
        <f>IF(P22="","",P22-O22)</f>
        <v/>
      </c>
      <c r="R22" s="17">
        <f>IF(OR(P22="",P22=0),"",Q22/P22)</f>
        <v/>
      </c>
      <c r="S22" s="14" t="n"/>
      <c r="T22" s="14" t="n"/>
      <c r="U22" s="14" t="n"/>
      <c r="V22" s="14" t="n"/>
      <c r="W22" s="14" t="n"/>
      <c r="X22" s="14" t="n"/>
      <c r="Y22" s="14" t="n"/>
      <c r="Z22" s="14" t="n"/>
      <c r="AA22" s="14" t="n"/>
      <c r="AB22" s="14" t="n"/>
      <c r="AC22" s="18">
        <f>IF(COUNT(S22:AB22)&lt;10,"",(S22*W_FEMININE+T22*W_TREND+U22*W_AESTHETIC+V22*W_STYLE+W22*W_LIGHT+X22*W_REELS+Y22*W_GIFT+Z22*W_PRICEFIT+AA22*W_DEMAND+AB22*W_QUALITY)/5*100)</f>
        <v/>
      </c>
      <c r="AD22" s="14">
        <f>IF(P22="","",IF(P22&gt;HARD_REJECT_PRICE,"Reject",IF(P22&gt;MAX_PRICE,"Price Review",IF(AC22="","",IF(AND(AC22&gt;=BUY_THRESHOLD,OR(AB22&lt;=2,U22&lt;=2)),"Maybe",IF(AC22&gt;=BUY_THRESHOLD,"Buy",IF(AC22&gt;=MAYBE_THRESHOLD,"Maybe","Reject")))))))</f>
        <v/>
      </c>
      <c r="AE22" s="14" t="n"/>
      <c r="AF22" s="14" t="n"/>
      <c r="AG22" s="14" t="n"/>
      <c r="AH22" s="14" t="n"/>
      <c r="AI22" s="15" t="n"/>
      <c r="AJ22">
        <f>IF(AC22="",-9999-ROW()*0.0000001,AC22-ROW()*0.0000001)</f>
        <v/>
      </c>
      <c r="AK22">
        <f>IF(OR(AC22="",P22="",P22&gt;MAX_PRICE),-9999-ROW()*0.0000001,AC22-ROW()*0.0000001)</f>
        <v/>
      </c>
      <c r="AL22">
        <f>IF(AC22="",-9999-ROW()*0.0000001,X22*1000+AC22-ROW()*0.0000001)</f>
        <v/>
      </c>
      <c r="AM22">
        <f>IF(AC22="",-9999-ROW()*0.0000001,Y22*1000+AC22-ROW()*0.0000001)</f>
        <v/>
      </c>
      <c r="AN22">
        <f>IF(AND(OR(AD22="Maybe",AD22="Price Review"),AG22&lt;&gt;"Approved",AG22&lt;&gt;"Rejected"),IF(AC22="",0,AC22)-ROW()*0.0000001,-9999-ROW()*0.0000001)</f>
        <v/>
      </c>
    </row>
    <row r="23">
      <c r="A23" s="9">
        <f>IF(C23="","","AYN-"&amp;UPPER(LEFT(E23,3))&amp;"-"&amp;TEXT(ROW()-2,"000"))</f>
        <v/>
      </c>
      <c r="B23" s="10" t="n"/>
      <c r="C23" s="9" t="n"/>
      <c r="D23" s="9" t="n"/>
      <c r="E23" s="9" t="n"/>
      <c r="F23" s="9" t="n"/>
      <c r="G23" s="9" t="n"/>
      <c r="H23" s="9" t="n"/>
      <c r="I23" s="9" t="n"/>
      <c r="J23" s="9" t="n"/>
      <c r="K23" s="11">
        <f>IF(I23="","",IF(J23="BDT",I23,IF(J23="USD",I23*USD_BDT,IF(J23="RMB",I23*RMB_BDT,""))))</f>
        <v/>
      </c>
      <c r="L23" s="11" t="n"/>
      <c r="M23" s="12" t="n"/>
      <c r="N23" s="11" t="n"/>
      <c r="O23" s="11">
        <f>IF(K23="","",K23+IFERROR(L23,0)+(K23*IF(M23="",CUSTOMS_PCT,M23))+IF(N23="",MISC_FEE,N23))</f>
        <v/>
      </c>
      <c r="P23" s="11">
        <f>IF(O23="","",ROUND(O23*(1+MARKUP_PCT),-1)-1)</f>
        <v/>
      </c>
      <c r="Q23" s="11">
        <f>IF(P23="","",P23-O23)</f>
        <v/>
      </c>
      <c r="R23" s="12">
        <f>IF(OR(P23="",P23=0),"",Q23/P23)</f>
        <v/>
      </c>
      <c r="S23" s="9" t="n"/>
      <c r="T23" s="9" t="n"/>
      <c r="U23" s="9" t="n"/>
      <c r="V23" s="9" t="n"/>
      <c r="W23" s="9" t="n"/>
      <c r="X23" s="9" t="n"/>
      <c r="Y23" s="9" t="n"/>
      <c r="Z23" s="9" t="n"/>
      <c r="AA23" s="9" t="n"/>
      <c r="AB23" s="9" t="n"/>
      <c r="AC23" s="13">
        <f>IF(COUNT(S23:AB23)&lt;10,"",(S23*W_FEMININE+T23*W_TREND+U23*W_AESTHETIC+V23*W_STYLE+W23*W_LIGHT+X23*W_REELS+Y23*W_GIFT+Z23*W_PRICEFIT+AA23*W_DEMAND+AB23*W_QUALITY)/5*100)</f>
        <v/>
      </c>
      <c r="AD23" s="9">
        <f>IF(P23="","",IF(P23&gt;HARD_REJECT_PRICE,"Reject",IF(P23&gt;MAX_PRICE,"Price Review",IF(AC23="","",IF(AND(AC23&gt;=BUY_THRESHOLD,OR(AB23&lt;=2,U23&lt;=2)),"Maybe",IF(AC23&gt;=BUY_THRESHOLD,"Buy",IF(AC23&gt;=MAYBE_THRESHOLD,"Maybe","Reject")))))))</f>
        <v/>
      </c>
      <c r="AE23" s="9" t="n"/>
      <c r="AF23" s="9" t="n"/>
      <c r="AG23" s="9" t="n"/>
      <c r="AH23" s="9" t="n"/>
      <c r="AI23" s="10" t="n"/>
      <c r="AJ23">
        <f>IF(AC23="",-9999-ROW()*0.0000001,AC23-ROW()*0.0000001)</f>
        <v/>
      </c>
      <c r="AK23">
        <f>IF(OR(AC23="",P23="",P23&gt;MAX_PRICE),-9999-ROW()*0.0000001,AC23-ROW()*0.0000001)</f>
        <v/>
      </c>
      <c r="AL23">
        <f>IF(AC23="",-9999-ROW()*0.0000001,X23*1000+AC23-ROW()*0.0000001)</f>
        <v/>
      </c>
      <c r="AM23">
        <f>IF(AC23="",-9999-ROW()*0.0000001,Y23*1000+AC23-ROW()*0.0000001)</f>
        <v/>
      </c>
      <c r="AN23">
        <f>IF(AND(OR(AD23="Maybe",AD23="Price Review"),AG23&lt;&gt;"Approved",AG23&lt;&gt;"Rejected"),IF(AC23="",0,AC23)-ROW()*0.0000001,-9999-ROW()*0.0000001)</f>
        <v/>
      </c>
    </row>
    <row r="24">
      <c r="A24" s="14">
        <f>IF(C24="","","AYN-"&amp;UPPER(LEFT(E24,3))&amp;"-"&amp;TEXT(ROW()-2,"000"))</f>
        <v/>
      </c>
      <c r="B24" s="15" t="n"/>
      <c r="C24" s="14" t="n"/>
      <c r="D24" s="14" t="n"/>
      <c r="E24" s="14" t="n"/>
      <c r="F24" s="14" t="n"/>
      <c r="G24" s="14" t="n"/>
      <c r="H24" s="14" t="n"/>
      <c r="I24" s="14" t="n"/>
      <c r="J24" s="14" t="n"/>
      <c r="K24" s="16">
        <f>IF(I24="","",IF(J24="BDT",I24,IF(J24="USD",I24*USD_BDT,IF(J24="RMB",I24*RMB_BDT,""))))</f>
        <v/>
      </c>
      <c r="L24" s="16" t="n"/>
      <c r="M24" s="17" t="n"/>
      <c r="N24" s="16" t="n"/>
      <c r="O24" s="16">
        <f>IF(K24="","",K24+IFERROR(L24,0)+(K24*IF(M24="",CUSTOMS_PCT,M24))+IF(N24="",MISC_FEE,N24))</f>
        <v/>
      </c>
      <c r="P24" s="16">
        <f>IF(O24="","",ROUND(O24*(1+MARKUP_PCT),-1)-1)</f>
        <v/>
      </c>
      <c r="Q24" s="16">
        <f>IF(P24="","",P24-O24)</f>
        <v/>
      </c>
      <c r="R24" s="17">
        <f>IF(OR(P24="",P24=0),"",Q24/P24)</f>
        <v/>
      </c>
      <c r="S24" s="14" t="n"/>
      <c r="T24" s="14" t="n"/>
      <c r="U24" s="14" t="n"/>
      <c r="V24" s="14" t="n"/>
      <c r="W24" s="14" t="n"/>
      <c r="X24" s="14" t="n"/>
      <c r="Y24" s="14" t="n"/>
      <c r="Z24" s="14" t="n"/>
      <c r="AA24" s="14" t="n"/>
      <c r="AB24" s="14" t="n"/>
      <c r="AC24" s="18">
        <f>IF(COUNT(S24:AB24)&lt;10,"",(S24*W_FEMININE+T24*W_TREND+U24*W_AESTHETIC+V24*W_STYLE+W24*W_LIGHT+X24*W_REELS+Y24*W_GIFT+Z24*W_PRICEFIT+AA24*W_DEMAND+AB24*W_QUALITY)/5*100)</f>
        <v/>
      </c>
      <c r="AD24" s="14">
        <f>IF(P24="","",IF(P24&gt;HARD_REJECT_PRICE,"Reject",IF(P24&gt;MAX_PRICE,"Price Review",IF(AC24="","",IF(AND(AC24&gt;=BUY_THRESHOLD,OR(AB24&lt;=2,U24&lt;=2)),"Maybe",IF(AC24&gt;=BUY_THRESHOLD,"Buy",IF(AC24&gt;=MAYBE_THRESHOLD,"Maybe","Reject")))))))</f>
        <v/>
      </c>
      <c r="AE24" s="14" t="n"/>
      <c r="AF24" s="14" t="n"/>
      <c r="AG24" s="14" t="n"/>
      <c r="AH24" s="14" t="n"/>
      <c r="AI24" s="15" t="n"/>
      <c r="AJ24">
        <f>IF(AC24="",-9999-ROW()*0.0000001,AC24-ROW()*0.0000001)</f>
        <v/>
      </c>
      <c r="AK24">
        <f>IF(OR(AC24="",P24="",P24&gt;MAX_PRICE),-9999-ROW()*0.0000001,AC24-ROW()*0.0000001)</f>
        <v/>
      </c>
      <c r="AL24">
        <f>IF(AC24="",-9999-ROW()*0.0000001,X24*1000+AC24-ROW()*0.0000001)</f>
        <v/>
      </c>
      <c r="AM24">
        <f>IF(AC24="",-9999-ROW()*0.0000001,Y24*1000+AC24-ROW()*0.0000001)</f>
        <v/>
      </c>
      <c r="AN24">
        <f>IF(AND(OR(AD24="Maybe",AD24="Price Review"),AG24&lt;&gt;"Approved",AG24&lt;&gt;"Rejected"),IF(AC24="",0,AC24)-ROW()*0.0000001,-9999-ROW()*0.0000001)</f>
        <v/>
      </c>
    </row>
    <row r="25">
      <c r="A25" s="9">
        <f>IF(C25="","","AYN-"&amp;UPPER(LEFT(E25,3))&amp;"-"&amp;TEXT(ROW()-2,"000"))</f>
        <v/>
      </c>
      <c r="B25" s="10" t="n"/>
      <c r="C25" s="9" t="n"/>
      <c r="D25" s="9" t="n"/>
      <c r="E25" s="9" t="n"/>
      <c r="F25" s="9" t="n"/>
      <c r="G25" s="9" t="n"/>
      <c r="H25" s="9" t="n"/>
      <c r="I25" s="9" t="n"/>
      <c r="J25" s="9" t="n"/>
      <c r="K25" s="11">
        <f>IF(I25="","",IF(J25="BDT",I25,IF(J25="USD",I25*USD_BDT,IF(J25="RMB",I25*RMB_BDT,""))))</f>
        <v/>
      </c>
      <c r="L25" s="11" t="n"/>
      <c r="M25" s="12" t="n"/>
      <c r="N25" s="11" t="n"/>
      <c r="O25" s="11">
        <f>IF(K25="","",K25+IFERROR(L25,0)+(K25*IF(M25="",CUSTOMS_PCT,M25))+IF(N25="",MISC_FEE,N25))</f>
        <v/>
      </c>
      <c r="P25" s="11">
        <f>IF(O25="","",ROUND(O25*(1+MARKUP_PCT),-1)-1)</f>
        <v/>
      </c>
      <c r="Q25" s="11">
        <f>IF(P25="","",P25-O25)</f>
        <v/>
      </c>
      <c r="R25" s="12">
        <f>IF(OR(P25="",P25=0),"",Q25/P25)</f>
        <v/>
      </c>
      <c r="S25" s="9" t="n"/>
      <c r="T25" s="9" t="n"/>
      <c r="U25" s="9" t="n"/>
      <c r="V25" s="9" t="n"/>
      <c r="W25" s="9" t="n"/>
      <c r="X25" s="9" t="n"/>
      <c r="Y25" s="9" t="n"/>
      <c r="Z25" s="9" t="n"/>
      <c r="AA25" s="9" t="n"/>
      <c r="AB25" s="9" t="n"/>
      <c r="AC25" s="13">
        <f>IF(COUNT(S25:AB25)&lt;10,"",(S25*W_FEMININE+T25*W_TREND+U25*W_AESTHETIC+V25*W_STYLE+W25*W_LIGHT+X25*W_REELS+Y25*W_GIFT+Z25*W_PRICEFIT+AA25*W_DEMAND+AB25*W_QUALITY)/5*100)</f>
        <v/>
      </c>
      <c r="AD25" s="9">
        <f>IF(P25="","",IF(P25&gt;HARD_REJECT_PRICE,"Reject",IF(P25&gt;MAX_PRICE,"Price Review",IF(AC25="","",IF(AND(AC25&gt;=BUY_THRESHOLD,OR(AB25&lt;=2,U25&lt;=2)),"Maybe",IF(AC25&gt;=BUY_THRESHOLD,"Buy",IF(AC25&gt;=MAYBE_THRESHOLD,"Maybe","Reject")))))))</f>
        <v/>
      </c>
      <c r="AE25" s="9" t="n"/>
      <c r="AF25" s="9" t="n"/>
      <c r="AG25" s="9" t="n"/>
      <c r="AH25" s="9" t="n"/>
      <c r="AI25" s="10" t="n"/>
      <c r="AJ25">
        <f>IF(AC25="",-9999-ROW()*0.0000001,AC25-ROW()*0.0000001)</f>
        <v/>
      </c>
      <c r="AK25">
        <f>IF(OR(AC25="",P25="",P25&gt;MAX_PRICE),-9999-ROW()*0.0000001,AC25-ROW()*0.0000001)</f>
        <v/>
      </c>
      <c r="AL25">
        <f>IF(AC25="",-9999-ROW()*0.0000001,X25*1000+AC25-ROW()*0.0000001)</f>
        <v/>
      </c>
      <c r="AM25">
        <f>IF(AC25="",-9999-ROW()*0.0000001,Y25*1000+AC25-ROW()*0.0000001)</f>
        <v/>
      </c>
      <c r="AN25">
        <f>IF(AND(OR(AD25="Maybe",AD25="Price Review"),AG25&lt;&gt;"Approved",AG25&lt;&gt;"Rejected"),IF(AC25="",0,AC25)-ROW()*0.0000001,-9999-ROW()*0.0000001)</f>
        <v/>
      </c>
    </row>
    <row r="26">
      <c r="A26" s="14">
        <f>IF(C26="","","AYN-"&amp;UPPER(LEFT(E26,3))&amp;"-"&amp;TEXT(ROW()-2,"000"))</f>
        <v/>
      </c>
      <c r="B26" s="15" t="n"/>
      <c r="C26" s="14" t="n"/>
      <c r="D26" s="14" t="n"/>
      <c r="E26" s="14" t="n"/>
      <c r="F26" s="14" t="n"/>
      <c r="G26" s="14" t="n"/>
      <c r="H26" s="14" t="n"/>
      <c r="I26" s="14" t="n"/>
      <c r="J26" s="14" t="n"/>
      <c r="K26" s="16">
        <f>IF(I26="","",IF(J26="BDT",I26,IF(J26="USD",I26*USD_BDT,IF(J26="RMB",I26*RMB_BDT,""))))</f>
        <v/>
      </c>
      <c r="L26" s="16" t="n"/>
      <c r="M26" s="17" t="n"/>
      <c r="N26" s="16" t="n"/>
      <c r="O26" s="16">
        <f>IF(K26="","",K26+IFERROR(L26,0)+(K26*IF(M26="",CUSTOMS_PCT,M26))+IF(N26="",MISC_FEE,N26))</f>
        <v/>
      </c>
      <c r="P26" s="16">
        <f>IF(O26="","",ROUND(O26*(1+MARKUP_PCT),-1)-1)</f>
        <v/>
      </c>
      <c r="Q26" s="16">
        <f>IF(P26="","",P26-O26)</f>
        <v/>
      </c>
      <c r="R26" s="17">
        <f>IF(OR(P26="",P26=0),"",Q26/P26)</f>
        <v/>
      </c>
      <c r="S26" s="14" t="n"/>
      <c r="T26" s="14" t="n"/>
      <c r="U26" s="14" t="n"/>
      <c r="V26" s="14" t="n"/>
      <c r="W26" s="14" t="n"/>
      <c r="X26" s="14" t="n"/>
      <c r="Y26" s="14" t="n"/>
      <c r="Z26" s="14" t="n"/>
      <c r="AA26" s="14" t="n"/>
      <c r="AB26" s="14" t="n"/>
      <c r="AC26" s="18">
        <f>IF(COUNT(S26:AB26)&lt;10,"",(S26*W_FEMININE+T26*W_TREND+U26*W_AESTHETIC+V26*W_STYLE+W26*W_LIGHT+X26*W_REELS+Y26*W_GIFT+Z26*W_PRICEFIT+AA26*W_DEMAND+AB26*W_QUALITY)/5*100)</f>
        <v/>
      </c>
      <c r="AD26" s="14">
        <f>IF(P26="","",IF(P26&gt;HARD_REJECT_PRICE,"Reject",IF(P26&gt;MAX_PRICE,"Price Review",IF(AC26="","",IF(AND(AC26&gt;=BUY_THRESHOLD,OR(AB26&lt;=2,U26&lt;=2)),"Maybe",IF(AC26&gt;=BUY_THRESHOLD,"Buy",IF(AC26&gt;=MAYBE_THRESHOLD,"Maybe","Reject")))))))</f>
        <v/>
      </c>
      <c r="AE26" s="14" t="n"/>
      <c r="AF26" s="14" t="n"/>
      <c r="AG26" s="14" t="n"/>
      <c r="AH26" s="14" t="n"/>
      <c r="AI26" s="15" t="n"/>
      <c r="AJ26">
        <f>IF(AC26="",-9999-ROW()*0.0000001,AC26-ROW()*0.0000001)</f>
        <v/>
      </c>
      <c r="AK26">
        <f>IF(OR(AC26="",P26="",P26&gt;MAX_PRICE),-9999-ROW()*0.0000001,AC26-ROW()*0.0000001)</f>
        <v/>
      </c>
      <c r="AL26">
        <f>IF(AC26="",-9999-ROW()*0.0000001,X26*1000+AC26-ROW()*0.0000001)</f>
        <v/>
      </c>
      <c r="AM26">
        <f>IF(AC26="",-9999-ROW()*0.0000001,Y26*1000+AC26-ROW()*0.0000001)</f>
        <v/>
      </c>
      <c r="AN26">
        <f>IF(AND(OR(AD26="Maybe",AD26="Price Review"),AG26&lt;&gt;"Approved",AG26&lt;&gt;"Rejected"),IF(AC26="",0,AC26)-ROW()*0.0000001,-9999-ROW()*0.0000001)</f>
        <v/>
      </c>
    </row>
    <row r="27">
      <c r="A27" s="9">
        <f>IF(C27="","","AYN-"&amp;UPPER(LEFT(E27,3))&amp;"-"&amp;TEXT(ROW()-2,"000"))</f>
        <v/>
      </c>
      <c r="B27" s="10" t="n"/>
      <c r="C27" s="9" t="n"/>
      <c r="D27" s="9" t="n"/>
      <c r="E27" s="9" t="n"/>
      <c r="F27" s="9" t="n"/>
      <c r="G27" s="9" t="n"/>
      <c r="H27" s="9" t="n"/>
      <c r="I27" s="9" t="n"/>
      <c r="J27" s="9" t="n"/>
      <c r="K27" s="11">
        <f>IF(I27="","",IF(J27="BDT",I27,IF(J27="USD",I27*USD_BDT,IF(J27="RMB",I27*RMB_BDT,""))))</f>
        <v/>
      </c>
      <c r="L27" s="11" t="n"/>
      <c r="M27" s="12" t="n"/>
      <c r="N27" s="11" t="n"/>
      <c r="O27" s="11">
        <f>IF(K27="","",K27+IFERROR(L27,0)+(K27*IF(M27="",CUSTOMS_PCT,M27))+IF(N27="",MISC_FEE,N27))</f>
        <v/>
      </c>
      <c r="P27" s="11">
        <f>IF(O27="","",ROUND(O27*(1+MARKUP_PCT),-1)-1)</f>
        <v/>
      </c>
      <c r="Q27" s="11">
        <f>IF(P27="","",P27-O27)</f>
        <v/>
      </c>
      <c r="R27" s="12">
        <f>IF(OR(P27="",P27=0),"",Q27/P27)</f>
        <v/>
      </c>
      <c r="S27" s="9" t="n"/>
      <c r="T27" s="9" t="n"/>
      <c r="U27" s="9" t="n"/>
      <c r="V27" s="9" t="n"/>
      <c r="W27" s="9" t="n"/>
      <c r="X27" s="9" t="n"/>
      <c r="Y27" s="9" t="n"/>
      <c r="Z27" s="9" t="n"/>
      <c r="AA27" s="9" t="n"/>
      <c r="AB27" s="9" t="n"/>
      <c r="AC27" s="13">
        <f>IF(COUNT(S27:AB27)&lt;10,"",(S27*W_FEMININE+T27*W_TREND+U27*W_AESTHETIC+V27*W_STYLE+W27*W_LIGHT+X27*W_REELS+Y27*W_GIFT+Z27*W_PRICEFIT+AA27*W_DEMAND+AB27*W_QUALITY)/5*100)</f>
        <v/>
      </c>
      <c r="AD27" s="9">
        <f>IF(P27="","",IF(P27&gt;HARD_REJECT_PRICE,"Reject",IF(P27&gt;MAX_PRICE,"Price Review",IF(AC27="","",IF(AND(AC27&gt;=BUY_THRESHOLD,OR(AB27&lt;=2,U27&lt;=2)),"Maybe",IF(AC27&gt;=BUY_THRESHOLD,"Buy",IF(AC27&gt;=MAYBE_THRESHOLD,"Maybe","Reject")))))))</f>
        <v/>
      </c>
      <c r="AE27" s="9" t="n"/>
      <c r="AF27" s="9" t="n"/>
      <c r="AG27" s="9" t="n"/>
      <c r="AH27" s="9" t="n"/>
      <c r="AI27" s="10" t="n"/>
      <c r="AJ27">
        <f>IF(AC27="",-9999-ROW()*0.0000001,AC27-ROW()*0.0000001)</f>
        <v/>
      </c>
      <c r="AK27">
        <f>IF(OR(AC27="",P27="",P27&gt;MAX_PRICE),-9999-ROW()*0.0000001,AC27-ROW()*0.0000001)</f>
        <v/>
      </c>
      <c r="AL27">
        <f>IF(AC27="",-9999-ROW()*0.0000001,X27*1000+AC27-ROW()*0.0000001)</f>
        <v/>
      </c>
      <c r="AM27">
        <f>IF(AC27="",-9999-ROW()*0.0000001,Y27*1000+AC27-ROW()*0.0000001)</f>
        <v/>
      </c>
      <c r="AN27">
        <f>IF(AND(OR(AD27="Maybe",AD27="Price Review"),AG27&lt;&gt;"Approved",AG27&lt;&gt;"Rejected"),IF(AC27="",0,AC27)-ROW()*0.0000001,-9999-ROW()*0.0000001)</f>
        <v/>
      </c>
    </row>
    <row r="28">
      <c r="A28" s="14">
        <f>IF(C28="","","AYN-"&amp;UPPER(LEFT(E28,3))&amp;"-"&amp;TEXT(ROW()-2,"000"))</f>
        <v/>
      </c>
      <c r="B28" s="15" t="n"/>
      <c r="C28" s="14" t="n"/>
      <c r="D28" s="14" t="n"/>
      <c r="E28" s="14" t="n"/>
      <c r="F28" s="14" t="n"/>
      <c r="G28" s="14" t="n"/>
      <c r="H28" s="14" t="n"/>
      <c r="I28" s="14" t="n"/>
      <c r="J28" s="14" t="n"/>
      <c r="K28" s="16">
        <f>IF(I28="","",IF(J28="BDT",I28,IF(J28="USD",I28*USD_BDT,IF(J28="RMB",I28*RMB_BDT,""))))</f>
        <v/>
      </c>
      <c r="L28" s="16" t="n"/>
      <c r="M28" s="17" t="n"/>
      <c r="N28" s="16" t="n"/>
      <c r="O28" s="16">
        <f>IF(K28="","",K28+IFERROR(L28,0)+(K28*IF(M28="",CUSTOMS_PCT,M28))+IF(N28="",MISC_FEE,N28))</f>
        <v/>
      </c>
      <c r="P28" s="16">
        <f>IF(O28="","",ROUND(O28*(1+MARKUP_PCT),-1)-1)</f>
        <v/>
      </c>
      <c r="Q28" s="16">
        <f>IF(P28="","",P28-O28)</f>
        <v/>
      </c>
      <c r="R28" s="17">
        <f>IF(OR(P28="",P28=0),"",Q28/P28)</f>
        <v/>
      </c>
      <c r="S28" s="14" t="n"/>
      <c r="T28" s="14" t="n"/>
      <c r="U28" s="14" t="n"/>
      <c r="V28" s="14" t="n"/>
      <c r="W28" s="14" t="n"/>
      <c r="X28" s="14" t="n"/>
      <c r="Y28" s="14" t="n"/>
      <c r="Z28" s="14" t="n"/>
      <c r="AA28" s="14" t="n"/>
      <c r="AB28" s="14" t="n"/>
      <c r="AC28" s="18">
        <f>IF(COUNT(S28:AB28)&lt;10,"",(S28*W_FEMININE+T28*W_TREND+U28*W_AESTHETIC+V28*W_STYLE+W28*W_LIGHT+X28*W_REELS+Y28*W_GIFT+Z28*W_PRICEFIT+AA28*W_DEMAND+AB28*W_QUALITY)/5*100)</f>
        <v/>
      </c>
      <c r="AD28" s="14">
        <f>IF(P28="","",IF(P28&gt;HARD_REJECT_PRICE,"Reject",IF(P28&gt;MAX_PRICE,"Price Review",IF(AC28="","",IF(AND(AC28&gt;=BUY_THRESHOLD,OR(AB28&lt;=2,U28&lt;=2)),"Maybe",IF(AC28&gt;=BUY_THRESHOLD,"Buy",IF(AC28&gt;=MAYBE_THRESHOLD,"Maybe","Reject")))))))</f>
        <v/>
      </c>
      <c r="AE28" s="14" t="n"/>
      <c r="AF28" s="14" t="n"/>
      <c r="AG28" s="14" t="n"/>
      <c r="AH28" s="14" t="n"/>
      <c r="AI28" s="15" t="n"/>
      <c r="AJ28">
        <f>IF(AC28="",-9999-ROW()*0.0000001,AC28-ROW()*0.0000001)</f>
        <v/>
      </c>
      <c r="AK28">
        <f>IF(OR(AC28="",P28="",P28&gt;MAX_PRICE),-9999-ROW()*0.0000001,AC28-ROW()*0.0000001)</f>
        <v/>
      </c>
      <c r="AL28">
        <f>IF(AC28="",-9999-ROW()*0.0000001,X28*1000+AC28-ROW()*0.0000001)</f>
        <v/>
      </c>
      <c r="AM28">
        <f>IF(AC28="",-9999-ROW()*0.0000001,Y28*1000+AC28-ROW()*0.0000001)</f>
        <v/>
      </c>
      <c r="AN28">
        <f>IF(AND(OR(AD28="Maybe",AD28="Price Review"),AG28&lt;&gt;"Approved",AG28&lt;&gt;"Rejected"),IF(AC28="",0,AC28)-ROW()*0.0000001,-9999-ROW()*0.0000001)</f>
        <v/>
      </c>
    </row>
    <row r="29">
      <c r="A29" s="9">
        <f>IF(C29="","","AYN-"&amp;UPPER(LEFT(E29,3))&amp;"-"&amp;TEXT(ROW()-2,"000"))</f>
        <v/>
      </c>
      <c r="B29" s="10" t="n"/>
      <c r="C29" s="9" t="n"/>
      <c r="D29" s="9" t="n"/>
      <c r="E29" s="9" t="n"/>
      <c r="F29" s="9" t="n"/>
      <c r="G29" s="9" t="n"/>
      <c r="H29" s="9" t="n"/>
      <c r="I29" s="9" t="n"/>
      <c r="J29" s="9" t="n"/>
      <c r="K29" s="11">
        <f>IF(I29="","",IF(J29="BDT",I29,IF(J29="USD",I29*USD_BDT,IF(J29="RMB",I29*RMB_BDT,""))))</f>
        <v/>
      </c>
      <c r="L29" s="11" t="n"/>
      <c r="M29" s="12" t="n"/>
      <c r="N29" s="11" t="n"/>
      <c r="O29" s="11">
        <f>IF(K29="","",K29+IFERROR(L29,0)+(K29*IF(M29="",CUSTOMS_PCT,M29))+IF(N29="",MISC_FEE,N29))</f>
        <v/>
      </c>
      <c r="P29" s="11">
        <f>IF(O29="","",ROUND(O29*(1+MARKUP_PCT),-1)-1)</f>
        <v/>
      </c>
      <c r="Q29" s="11">
        <f>IF(P29="","",P29-O29)</f>
        <v/>
      </c>
      <c r="R29" s="12">
        <f>IF(OR(P29="",P29=0),"",Q29/P29)</f>
        <v/>
      </c>
      <c r="S29" s="9" t="n"/>
      <c r="T29" s="9" t="n"/>
      <c r="U29" s="9" t="n"/>
      <c r="V29" s="9" t="n"/>
      <c r="W29" s="9" t="n"/>
      <c r="X29" s="9" t="n"/>
      <c r="Y29" s="9" t="n"/>
      <c r="Z29" s="9" t="n"/>
      <c r="AA29" s="9" t="n"/>
      <c r="AB29" s="9" t="n"/>
      <c r="AC29" s="13">
        <f>IF(COUNT(S29:AB29)&lt;10,"",(S29*W_FEMININE+T29*W_TREND+U29*W_AESTHETIC+V29*W_STYLE+W29*W_LIGHT+X29*W_REELS+Y29*W_GIFT+Z29*W_PRICEFIT+AA29*W_DEMAND+AB29*W_QUALITY)/5*100)</f>
        <v/>
      </c>
      <c r="AD29" s="9">
        <f>IF(P29="","",IF(P29&gt;HARD_REJECT_PRICE,"Reject",IF(P29&gt;MAX_PRICE,"Price Review",IF(AC29="","",IF(AND(AC29&gt;=BUY_THRESHOLD,OR(AB29&lt;=2,U29&lt;=2)),"Maybe",IF(AC29&gt;=BUY_THRESHOLD,"Buy",IF(AC29&gt;=MAYBE_THRESHOLD,"Maybe","Reject")))))))</f>
        <v/>
      </c>
      <c r="AE29" s="9" t="n"/>
      <c r="AF29" s="9" t="n"/>
      <c r="AG29" s="9" t="n"/>
      <c r="AH29" s="9" t="n"/>
      <c r="AI29" s="10" t="n"/>
      <c r="AJ29">
        <f>IF(AC29="",-9999-ROW()*0.0000001,AC29-ROW()*0.0000001)</f>
        <v/>
      </c>
      <c r="AK29">
        <f>IF(OR(AC29="",P29="",P29&gt;MAX_PRICE),-9999-ROW()*0.0000001,AC29-ROW()*0.0000001)</f>
        <v/>
      </c>
      <c r="AL29">
        <f>IF(AC29="",-9999-ROW()*0.0000001,X29*1000+AC29-ROW()*0.0000001)</f>
        <v/>
      </c>
      <c r="AM29">
        <f>IF(AC29="",-9999-ROW()*0.0000001,Y29*1000+AC29-ROW()*0.0000001)</f>
        <v/>
      </c>
      <c r="AN29">
        <f>IF(AND(OR(AD29="Maybe",AD29="Price Review"),AG29&lt;&gt;"Approved",AG29&lt;&gt;"Rejected"),IF(AC29="",0,AC29)-ROW()*0.0000001,-9999-ROW()*0.0000001)</f>
        <v/>
      </c>
    </row>
    <row r="30">
      <c r="A30" s="14">
        <f>IF(C30="","","AYN-"&amp;UPPER(LEFT(E30,3))&amp;"-"&amp;TEXT(ROW()-2,"000"))</f>
        <v/>
      </c>
      <c r="B30" s="15" t="n"/>
      <c r="C30" s="14" t="n"/>
      <c r="D30" s="14" t="n"/>
      <c r="E30" s="14" t="n"/>
      <c r="F30" s="14" t="n"/>
      <c r="G30" s="14" t="n"/>
      <c r="H30" s="14" t="n"/>
      <c r="I30" s="14" t="n"/>
      <c r="J30" s="14" t="n"/>
      <c r="K30" s="16">
        <f>IF(I30="","",IF(J30="BDT",I30,IF(J30="USD",I30*USD_BDT,IF(J30="RMB",I30*RMB_BDT,""))))</f>
        <v/>
      </c>
      <c r="L30" s="16" t="n"/>
      <c r="M30" s="17" t="n"/>
      <c r="N30" s="16" t="n"/>
      <c r="O30" s="16">
        <f>IF(K30="","",K30+IFERROR(L30,0)+(K30*IF(M30="",CUSTOMS_PCT,M30))+IF(N30="",MISC_FEE,N30))</f>
        <v/>
      </c>
      <c r="P30" s="16">
        <f>IF(O30="","",ROUND(O30*(1+MARKUP_PCT),-1)-1)</f>
        <v/>
      </c>
      <c r="Q30" s="16">
        <f>IF(P30="","",P30-O30)</f>
        <v/>
      </c>
      <c r="R30" s="17">
        <f>IF(OR(P30="",P30=0),"",Q30/P30)</f>
        <v/>
      </c>
      <c r="S30" s="14" t="n"/>
      <c r="T30" s="14" t="n"/>
      <c r="U30" s="14" t="n"/>
      <c r="V30" s="14" t="n"/>
      <c r="W30" s="14" t="n"/>
      <c r="X30" s="14" t="n"/>
      <c r="Y30" s="14" t="n"/>
      <c r="Z30" s="14" t="n"/>
      <c r="AA30" s="14" t="n"/>
      <c r="AB30" s="14" t="n"/>
      <c r="AC30" s="18">
        <f>IF(COUNT(S30:AB30)&lt;10,"",(S30*W_FEMININE+T30*W_TREND+U30*W_AESTHETIC+V30*W_STYLE+W30*W_LIGHT+X30*W_REELS+Y30*W_GIFT+Z30*W_PRICEFIT+AA30*W_DEMAND+AB30*W_QUALITY)/5*100)</f>
        <v/>
      </c>
      <c r="AD30" s="14">
        <f>IF(P30="","",IF(P30&gt;HARD_REJECT_PRICE,"Reject",IF(P30&gt;MAX_PRICE,"Price Review",IF(AC30="","",IF(AND(AC30&gt;=BUY_THRESHOLD,OR(AB30&lt;=2,U30&lt;=2)),"Maybe",IF(AC30&gt;=BUY_THRESHOLD,"Buy",IF(AC30&gt;=MAYBE_THRESHOLD,"Maybe","Reject")))))))</f>
        <v/>
      </c>
      <c r="AE30" s="14" t="n"/>
      <c r="AF30" s="14" t="n"/>
      <c r="AG30" s="14" t="n"/>
      <c r="AH30" s="14" t="n"/>
      <c r="AI30" s="15" t="n"/>
      <c r="AJ30">
        <f>IF(AC30="",-9999-ROW()*0.0000001,AC30-ROW()*0.0000001)</f>
        <v/>
      </c>
      <c r="AK30">
        <f>IF(OR(AC30="",P30="",P30&gt;MAX_PRICE),-9999-ROW()*0.0000001,AC30-ROW()*0.0000001)</f>
        <v/>
      </c>
      <c r="AL30">
        <f>IF(AC30="",-9999-ROW()*0.0000001,X30*1000+AC30-ROW()*0.0000001)</f>
        <v/>
      </c>
      <c r="AM30">
        <f>IF(AC30="",-9999-ROW()*0.0000001,Y30*1000+AC30-ROW()*0.0000001)</f>
        <v/>
      </c>
      <c r="AN30">
        <f>IF(AND(OR(AD30="Maybe",AD30="Price Review"),AG30&lt;&gt;"Approved",AG30&lt;&gt;"Rejected"),IF(AC30="",0,AC30)-ROW()*0.0000001,-9999-ROW()*0.0000001)</f>
        <v/>
      </c>
    </row>
    <row r="31">
      <c r="A31" s="9">
        <f>IF(C31="","","AYN-"&amp;UPPER(LEFT(E31,3))&amp;"-"&amp;TEXT(ROW()-2,"000"))</f>
        <v/>
      </c>
      <c r="B31" s="10" t="n"/>
      <c r="C31" s="9" t="n"/>
      <c r="D31" s="9" t="n"/>
      <c r="E31" s="9" t="n"/>
      <c r="F31" s="9" t="n"/>
      <c r="G31" s="9" t="n"/>
      <c r="H31" s="9" t="n"/>
      <c r="I31" s="9" t="n"/>
      <c r="J31" s="9" t="n"/>
      <c r="K31" s="11">
        <f>IF(I31="","",IF(J31="BDT",I31,IF(J31="USD",I31*USD_BDT,IF(J31="RMB",I31*RMB_BDT,""))))</f>
        <v/>
      </c>
      <c r="L31" s="11" t="n"/>
      <c r="M31" s="12" t="n"/>
      <c r="N31" s="11" t="n"/>
      <c r="O31" s="11">
        <f>IF(K31="","",K31+IFERROR(L31,0)+(K31*IF(M31="",CUSTOMS_PCT,M31))+IF(N31="",MISC_FEE,N31))</f>
        <v/>
      </c>
      <c r="P31" s="11">
        <f>IF(O31="","",ROUND(O31*(1+MARKUP_PCT),-1)-1)</f>
        <v/>
      </c>
      <c r="Q31" s="11">
        <f>IF(P31="","",P31-O31)</f>
        <v/>
      </c>
      <c r="R31" s="12">
        <f>IF(OR(P31="",P31=0),"",Q31/P31)</f>
        <v/>
      </c>
      <c r="S31" s="9" t="n"/>
      <c r="T31" s="9" t="n"/>
      <c r="U31" s="9" t="n"/>
      <c r="V31" s="9" t="n"/>
      <c r="W31" s="9" t="n"/>
      <c r="X31" s="9" t="n"/>
      <c r="Y31" s="9" t="n"/>
      <c r="Z31" s="9" t="n"/>
      <c r="AA31" s="9" t="n"/>
      <c r="AB31" s="9" t="n"/>
      <c r="AC31" s="13">
        <f>IF(COUNT(S31:AB31)&lt;10,"",(S31*W_FEMININE+T31*W_TREND+U31*W_AESTHETIC+V31*W_STYLE+W31*W_LIGHT+X31*W_REELS+Y31*W_GIFT+Z31*W_PRICEFIT+AA31*W_DEMAND+AB31*W_QUALITY)/5*100)</f>
        <v/>
      </c>
      <c r="AD31" s="9">
        <f>IF(P31="","",IF(P31&gt;HARD_REJECT_PRICE,"Reject",IF(P31&gt;MAX_PRICE,"Price Review",IF(AC31="","",IF(AND(AC31&gt;=BUY_THRESHOLD,OR(AB31&lt;=2,U31&lt;=2)),"Maybe",IF(AC31&gt;=BUY_THRESHOLD,"Buy",IF(AC31&gt;=MAYBE_THRESHOLD,"Maybe","Reject")))))))</f>
        <v/>
      </c>
      <c r="AE31" s="9" t="n"/>
      <c r="AF31" s="9" t="n"/>
      <c r="AG31" s="9" t="n"/>
      <c r="AH31" s="9" t="n"/>
      <c r="AI31" s="10" t="n"/>
      <c r="AJ31">
        <f>IF(AC31="",-9999-ROW()*0.0000001,AC31-ROW()*0.0000001)</f>
        <v/>
      </c>
      <c r="AK31">
        <f>IF(OR(AC31="",P31="",P31&gt;MAX_PRICE),-9999-ROW()*0.0000001,AC31-ROW()*0.0000001)</f>
        <v/>
      </c>
      <c r="AL31">
        <f>IF(AC31="",-9999-ROW()*0.0000001,X31*1000+AC31-ROW()*0.0000001)</f>
        <v/>
      </c>
      <c r="AM31">
        <f>IF(AC31="",-9999-ROW()*0.0000001,Y31*1000+AC31-ROW()*0.0000001)</f>
        <v/>
      </c>
      <c r="AN31">
        <f>IF(AND(OR(AD31="Maybe",AD31="Price Review"),AG31&lt;&gt;"Approved",AG31&lt;&gt;"Rejected"),IF(AC31="",0,AC31)-ROW()*0.0000001,-9999-ROW()*0.0000001)</f>
        <v/>
      </c>
    </row>
    <row r="32">
      <c r="A32" s="14">
        <f>IF(C32="","","AYN-"&amp;UPPER(LEFT(E32,3))&amp;"-"&amp;TEXT(ROW()-2,"000"))</f>
        <v/>
      </c>
      <c r="B32" s="15" t="n"/>
      <c r="C32" s="14" t="n"/>
      <c r="D32" s="14" t="n"/>
      <c r="E32" s="14" t="n"/>
      <c r="F32" s="14" t="n"/>
      <c r="G32" s="14" t="n"/>
      <c r="H32" s="14" t="n"/>
      <c r="I32" s="14" t="n"/>
      <c r="J32" s="14" t="n"/>
      <c r="K32" s="16">
        <f>IF(I32="","",IF(J32="BDT",I32,IF(J32="USD",I32*USD_BDT,IF(J32="RMB",I32*RMB_BDT,""))))</f>
        <v/>
      </c>
      <c r="L32" s="16" t="n"/>
      <c r="M32" s="17" t="n"/>
      <c r="N32" s="16" t="n"/>
      <c r="O32" s="16">
        <f>IF(K32="","",K32+IFERROR(L32,0)+(K32*IF(M32="",CUSTOMS_PCT,M32))+IF(N32="",MISC_FEE,N32))</f>
        <v/>
      </c>
      <c r="P32" s="16">
        <f>IF(O32="","",ROUND(O32*(1+MARKUP_PCT),-1)-1)</f>
        <v/>
      </c>
      <c r="Q32" s="16">
        <f>IF(P32="","",P32-O32)</f>
        <v/>
      </c>
      <c r="R32" s="17">
        <f>IF(OR(P32="",P32=0),"",Q32/P32)</f>
        <v/>
      </c>
      <c r="S32" s="14" t="n"/>
      <c r="T32" s="14" t="n"/>
      <c r="U32" s="14" t="n"/>
      <c r="V32" s="14" t="n"/>
      <c r="W32" s="14" t="n"/>
      <c r="X32" s="14" t="n"/>
      <c r="Y32" s="14" t="n"/>
      <c r="Z32" s="14" t="n"/>
      <c r="AA32" s="14" t="n"/>
      <c r="AB32" s="14" t="n"/>
      <c r="AC32" s="18">
        <f>IF(COUNT(S32:AB32)&lt;10,"",(S32*W_FEMININE+T32*W_TREND+U32*W_AESTHETIC+V32*W_STYLE+W32*W_LIGHT+X32*W_REELS+Y32*W_GIFT+Z32*W_PRICEFIT+AA32*W_DEMAND+AB32*W_QUALITY)/5*100)</f>
        <v/>
      </c>
      <c r="AD32" s="14">
        <f>IF(P32="","",IF(P32&gt;HARD_REJECT_PRICE,"Reject",IF(P32&gt;MAX_PRICE,"Price Review",IF(AC32="","",IF(AND(AC32&gt;=BUY_THRESHOLD,OR(AB32&lt;=2,U32&lt;=2)),"Maybe",IF(AC32&gt;=BUY_THRESHOLD,"Buy",IF(AC32&gt;=MAYBE_THRESHOLD,"Maybe","Reject")))))))</f>
        <v/>
      </c>
      <c r="AE32" s="14" t="n"/>
      <c r="AF32" s="14" t="n"/>
      <c r="AG32" s="14" t="n"/>
      <c r="AH32" s="14" t="n"/>
      <c r="AI32" s="15" t="n"/>
      <c r="AJ32">
        <f>IF(AC32="",-9999-ROW()*0.0000001,AC32-ROW()*0.0000001)</f>
        <v/>
      </c>
      <c r="AK32">
        <f>IF(OR(AC32="",P32="",P32&gt;MAX_PRICE),-9999-ROW()*0.0000001,AC32-ROW()*0.0000001)</f>
        <v/>
      </c>
      <c r="AL32">
        <f>IF(AC32="",-9999-ROW()*0.0000001,X32*1000+AC32-ROW()*0.0000001)</f>
        <v/>
      </c>
      <c r="AM32">
        <f>IF(AC32="",-9999-ROW()*0.0000001,Y32*1000+AC32-ROW()*0.0000001)</f>
        <v/>
      </c>
      <c r="AN32">
        <f>IF(AND(OR(AD32="Maybe",AD32="Price Review"),AG32&lt;&gt;"Approved",AG32&lt;&gt;"Rejected"),IF(AC32="",0,AC32)-ROW()*0.0000001,-9999-ROW()*0.0000001)</f>
        <v/>
      </c>
    </row>
    <row r="33">
      <c r="A33" s="9">
        <f>IF(C33="","","AYN-"&amp;UPPER(LEFT(E33,3))&amp;"-"&amp;TEXT(ROW()-2,"000"))</f>
        <v/>
      </c>
      <c r="B33" s="10" t="n"/>
      <c r="C33" s="9" t="n"/>
      <c r="D33" s="9" t="n"/>
      <c r="E33" s="9" t="n"/>
      <c r="F33" s="9" t="n"/>
      <c r="G33" s="9" t="n"/>
      <c r="H33" s="9" t="n"/>
      <c r="I33" s="9" t="n"/>
      <c r="J33" s="9" t="n"/>
      <c r="K33" s="11">
        <f>IF(I33="","",IF(J33="BDT",I33,IF(J33="USD",I33*USD_BDT,IF(J33="RMB",I33*RMB_BDT,""))))</f>
        <v/>
      </c>
      <c r="L33" s="11" t="n"/>
      <c r="M33" s="12" t="n"/>
      <c r="N33" s="11" t="n"/>
      <c r="O33" s="11">
        <f>IF(K33="","",K33+IFERROR(L33,0)+(K33*IF(M33="",CUSTOMS_PCT,M33))+IF(N33="",MISC_FEE,N33))</f>
        <v/>
      </c>
      <c r="P33" s="11">
        <f>IF(O33="","",ROUND(O33*(1+MARKUP_PCT),-1)-1)</f>
        <v/>
      </c>
      <c r="Q33" s="11">
        <f>IF(P33="","",P33-O33)</f>
        <v/>
      </c>
      <c r="R33" s="12">
        <f>IF(OR(P33="",P33=0),"",Q33/P33)</f>
        <v/>
      </c>
      <c r="S33" s="9" t="n"/>
      <c r="T33" s="9" t="n"/>
      <c r="U33" s="9" t="n"/>
      <c r="V33" s="9" t="n"/>
      <c r="W33" s="9" t="n"/>
      <c r="X33" s="9" t="n"/>
      <c r="Y33" s="9" t="n"/>
      <c r="Z33" s="9" t="n"/>
      <c r="AA33" s="9" t="n"/>
      <c r="AB33" s="9" t="n"/>
      <c r="AC33" s="13">
        <f>IF(COUNT(S33:AB33)&lt;10,"",(S33*W_FEMININE+T33*W_TREND+U33*W_AESTHETIC+V33*W_STYLE+W33*W_LIGHT+X33*W_REELS+Y33*W_GIFT+Z33*W_PRICEFIT+AA33*W_DEMAND+AB33*W_QUALITY)/5*100)</f>
        <v/>
      </c>
      <c r="AD33" s="9">
        <f>IF(P33="","",IF(P33&gt;HARD_REJECT_PRICE,"Reject",IF(P33&gt;MAX_PRICE,"Price Review",IF(AC33="","",IF(AND(AC33&gt;=BUY_THRESHOLD,OR(AB33&lt;=2,U33&lt;=2)),"Maybe",IF(AC33&gt;=BUY_THRESHOLD,"Buy",IF(AC33&gt;=MAYBE_THRESHOLD,"Maybe","Reject")))))))</f>
        <v/>
      </c>
      <c r="AE33" s="9" t="n"/>
      <c r="AF33" s="9" t="n"/>
      <c r="AG33" s="9" t="n"/>
      <c r="AH33" s="9" t="n"/>
      <c r="AI33" s="10" t="n"/>
      <c r="AJ33">
        <f>IF(AC33="",-9999-ROW()*0.0000001,AC33-ROW()*0.0000001)</f>
        <v/>
      </c>
      <c r="AK33">
        <f>IF(OR(AC33="",P33="",P33&gt;MAX_PRICE),-9999-ROW()*0.0000001,AC33-ROW()*0.0000001)</f>
        <v/>
      </c>
      <c r="AL33">
        <f>IF(AC33="",-9999-ROW()*0.0000001,X33*1000+AC33-ROW()*0.0000001)</f>
        <v/>
      </c>
      <c r="AM33">
        <f>IF(AC33="",-9999-ROW()*0.0000001,Y33*1000+AC33-ROW()*0.0000001)</f>
        <v/>
      </c>
      <c r="AN33">
        <f>IF(AND(OR(AD33="Maybe",AD33="Price Review"),AG33&lt;&gt;"Approved",AG33&lt;&gt;"Rejected"),IF(AC33="",0,AC33)-ROW()*0.0000001,-9999-ROW()*0.0000001)</f>
        <v/>
      </c>
    </row>
    <row r="34">
      <c r="A34" s="14">
        <f>IF(C34="","","AYN-"&amp;UPPER(LEFT(E34,3))&amp;"-"&amp;TEXT(ROW()-2,"000"))</f>
        <v/>
      </c>
      <c r="B34" s="15" t="n"/>
      <c r="C34" s="14" t="n"/>
      <c r="D34" s="14" t="n"/>
      <c r="E34" s="14" t="n"/>
      <c r="F34" s="14" t="n"/>
      <c r="G34" s="14" t="n"/>
      <c r="H34" s="14" t="n"/>
      <c r="I34" s="14" t="n"/>
      <c r="J34" s="14" t="n"/>
      <c r="K34" s="16">
        <f>IF(I34="","",IF(J34="BDT",I34,IF(J34="USD",I34*USD_BDT,IF(J34="RMB",I34*RMB_BDT,""))))</f>
        <v/>
      </c>
      <c r="L34" s="16" t="n"/>
      <c r="M34" s="17" t="n"/>
      <c r="N34" s="16" t="n"/>
      <c r="O34" s="16">
        <f>IF(K34="","",K34+IFERROR(L34,0)+(K34*IF(M34="",CUSTOMS_PCT,M34))+IF(N34="",MISC_FEE,N34))</f>
        <v/>
      </c>
      <c r="P34" s="16">
        <f>IF(O34="","",ROUND(O34*(1+MARKUP_PCT),-1)-1)</f>
        <v/>
      </c>
      <c r="Q34" s="16">
        <f>IF(P34="","",P34-O34)</f>
        <v/>
      </c>
      <c r="R34" s="17">
        <f>IF(OR(P34="",P34=0),"",Q34/P34)</f>
        <v/>
      </c>
      <c r="S34" s="14" t="n"/>
      <c r="T34" s="14" t="n"/>
      <c r="U34" s="14" t="n"/>
      <c r="V34" s="14" t="n"/>
      <c r="W34" s="14" t="n"/>
      <c r="X34" s="14" t="n"/>
      <c r="Y34" s="14" t="n"/>
      <c r="Z34" s="14" t="n"/>
      <c r="AA34" s="14" t="n"/>
      <c r="AB34" s="14" t="n"/>
      <c r="AC34" s="18">
        <f>IF(COUNT(S34:AB34)&lt;10,"",(S34*W_FEMININE+T34*W_TREND+U34*W_AESTHETIC+V34*W_STYLE+W34*W_LIGHT+X34*W_REELS+Y34*W_GIFT+Z34*W_PRICEFIT+AA34*W_DEMAND+AB34*W_QUALITY)/5*100)</f>
        <v/>
      </c>
      <c r="AD34" s="14">
        <f>IF(P34="","",IF(P34&gt;HARD_REJECT_PRICE,"Reject",IF(P34&gt;MAX_PRICE,"Price Review",IF(AC34="","",IF(AND(AC34&gt;=BUY_THRESHOLD,OR(AB34&lt;=2,U34&lt;=2)),"Maybe",IF(AC34&gt;=BUY_THRESHOLD,"Buy",IF(AC34&gt;=MAYBE_THRESHOLD,"Maybe","Reject")))))))</f>
        <v/>
      </c>
      <c r="AE34" s="14" t="n"/>
      <c r="AF34" s="14" t="n"/>
      <c r="AG34" s="14" t="n"/>
      <c r="AH34" s="14" t="n"/>
      <c r="AI34" s="15" t="n"/>
      <c r="AJ34">
        <f>IF(AC34="",-9999-ROW()*0.0000001,AC34-ROW()*0.0000001)</f>
        <v/>
      </c>
      <c r="AK34">
        <f>IF(OR(AC34="",P34="",P34&gt;MAX_PRICE),-9999-ROW()*0.0000001,AC34-ROW()*0.0000001)</f>
        <v/>
      </c>
      <c r="AL34">
        <f>IF(AC34="",-9999-ROW()*0.0000001,X34*1000+AC34-ROW()*0.0000001)</f>
        <v/>
      </c>
      <c r="AM34">
        <f>IF(AC34="",-9999-ROW()*0.0000001,Y34*1000+AC34-ROW()*0.0000001)</f>
        <v/>
      </c>
      <c r="AN34">
        <f>IF(AND(OR(AD34="Maybe",AD34="Price Review"),AG34&lt;&gt;"Approved",AG34&lt;&gt;"Rejected"),IF(AC34="",0,AC34)-ROW()*0.0000001,-9999-ROW()*0.0000001)</f>
        <v/>
      </c>
    </row>
    <row r="35">
      <c r="A35" s="9">
        <f>IF(C35="","","AYN-"&amp;UPPER(LEFT(E35,3))&amp;"-"&amp;TEXT(ROW()-2,"000"))</f>
        <v/>
      </c>
      <c r="B35" s="10" t="n"/>
      <c r="C35" s="9" t="n"/>
      <c r="D35" s="9" t="n"/>
      <c r="E35" s="9" t="n"/>
      <c r="F35" s="9" t="n"/>
      <c r="G35" s="9" t="n"/>
      <c r="H35" s="9" t="n"/>
      <c r="I35" s="9" t="n"/>
      <c r="J35" s="9" t="n"/>
      <c r="K35" s="11">
        <f>IF(I35="","",IF(J35="BDT",I35,IF(J35="USD",I35*USD_BDT,IF(J35="RMB",I35*RMB_BDT,""))))</f>
        <v/>
      </c>
      <c r="L35" s="11" t="n"/>
      <c r="M35" s="12" t="n"/>
      <c r="N35" s="11" t="n"/>
      <c r="O35" s="11">
        <f>IF(K35="","",K35+IFERROR(L35,0)+(K35*IF(M35="",CUSTOMS_PCT,M35))+IF(N35="",MISC_FEE,N35))</f>
        <v/>
      </c>
      <c r="P35" s="11">
        <f>IF(O35="","",ROUND(O35*(1+MARKUP_PCT),-1)-1)</f>
        <v/>
      </c>
      <c r="Q35" s="11">
        <f>IF(P35="","",P35-O35)</f>
        <v/>
      </c>
      <c r="R35" s="12">
        <f>IF(OR(P35="",P35=0),"",Q35/P35)</f>
        <v/>
      </c>
      <c r="S35" s="9" t="n"/>
      <c r="T35" s="9" t="n"/>
      <c r="U35" s="9" t="n"/>
      <c r="V35" s="9" t="n"/>
      <c r="W35" s="9" t="n"/>
      <c r="X35" s="9" t="n"/>
      <c r="Y35" s="9" t="n"/>
      <c r="Z35" s="9" t="n"/>
      <c r="AA35" s="9" t="n"/>
      <c r="AB35" s="9" t="n"/>
      <c r="AC35" s="13">
        <f>IF(COUNT(S35:AB35)&lt;10,"",(S35*W_FEMININE+T35*W_TREND+U35*W_AESTHETIC+V35*W_STYLE+W35*W_LIGHT+X35*W_REELS+Y35*W_GIFT+Z35*W_PRICEFIT+AA35*W_DEMAND+AB35*W_QUALITY)/5*100)</f>
        <v/>
      </c>
      <c r="AD35" s="9">
        <f>IF(P35="","",IF(P35&gt;HARD_REJECT_PRICE,"Reject",IF(P35&gt;MAX_PRICE,"Price Review",IF(AC35="","",IF(AND(AC35&gt;=BUY_THRESHOLD,OR(AB35&lt;=2,U35&lt;=2)),"Maybe",IF(AC35&gt;=BUY_THRESHOLD,"Buy",IF(AC35&gt;=MAYBE_THRESHOLD,"Maybe","Reject")))))))</f>
        <v/>
      </c>
      <c r="AE35" s="9" t="n"/>
      <c r="AF35" s="9" t="n"/>
      <c r="AG35" s="9" t="n"/>
      <c r="AH35" s="9" t="n"/>
      <c r="AI35" s="10" t="n"/>
      <c r="AJ35">
        <f>IF(AC35="",-9999-ROW()*0.0000001,AC35-ROW()*0.0000001)</f>
        <v/>
      </c>
      <c r="AK35">
        <f>IF(OR(AC35="",P35="",P35&gt;MAX_PRICE),-9999-ROW()*0.0000001,AC35-ROW()*0.0000001)</f>
        <v/>
      </c>
      <c r="AL35">
        <f>IF(AC35="",-9999-ROW()*0.0000001,X35*1000+AC35-ROW()*0.0000001)</f>
        <v/>
      </c>
      <c r="AM35">
        <f>IF(AC35="",-9999-ROW()*0.0000001,Y35*1000+AC35-ROW()*0.0000001)</f>
        <v/>
      </c>
      <c r="AN35">
        <f>IF(AND(OR(AD35="Maybe",AD35="Price Review"),AG35&lt;&gt;"Approved",AG35&lt;&gt;"Rejected"),IF(AC35="",0,AC35)-ROW()*0.0000001,-9999-ROW()*0.0000001)</f>
        <v/>
      </c>
    </row>
    <row r="36">
      <c r="A36" s="14">
        <f>IF(C36="","","AYN-"&amp;UPPER(LEFT(E36,3))&amp;"-"&amp;TEXT(ROW()-2,"000"))</f>
        <v/>
      </c>
      <c r="B36" s="15" t="n"/>
      <c r="C36" s="14" t="n"/>
      <c r="D36" s="14" t="n"/>
      <c r="E36" s="14" t="n"/>
      <c r="F36" s="14" t="n"/>
      <c r="G36" s="14" t="n"/>
      <c r="H36" s="14" t="n"/>
      <c r="I36" s="14" t="n"/>
      <c r="J36" s="14" t="n"/>
      <c r="K36" s="16">
        <f>IF(I36="","",IF(J36="BDT",I36,IF(J36="USD",I36*USD_BDT,IF(J36="RMB",I36*RMB_BDT,""))))</f>
        <v/>
      </c>
      <c r="L36" s="16" t="n"/>
      <c r="M36" s="17" t="n"/>
      <c r="N36" s="16" t="n"/>
      <c r="O36" s="16">
        <f>IF(K36="","",K36+IFERROR(L36,0)+(K36*IF(M36="",CUSTOMS_PCT,M36))+IF(N36="",MISC_FEE,N36))</f>
        <v/>
      </c>
      <c r="P36" s="16">
        <f>IF(O36="","",ROUND(O36*(1+MARKUP_PCT),-1)-1)</f>
        <v/>
      </c>
      <c r="Q36" s="16">
        <f>IF(P36="","",P36-O36)</f>
        <v/>
      </c>
      <c r="R36" s="17">
        <f>IF(OR(P36="",P36=0),"",Q36/P36)</f>
        <v/>
      </c>
      <c r="S36" s="14" t="n"/>
      <c r="T36" s="14" t="n"/>
      <c r="U36" s="14" t="n"/>
      <c r="V36" s="14" t="n"/>
      <c r="W36" s="14" t="n"/>
      <c r="X36" s="14" t="n"/>
      <c r="Y36" s="14" t="n"/>
      <c r="Z36" s="14" t="n"/>
      <c r="AA36" s="14" t="n"/>
      <c r="AB36" s="14" t="n"/>
      <c r="AC36" s="18">
        <f>IF(COUNT(S36:AB36)&lt;10,"",(S36*W_FEMININE+T36*W_TREND+U36*W_AESTHETIC+V36*W_STYLE+W36*W_LIGHT+X36*W_REELS+Y36*W_GIFT+Z36*W_PRICEFIT+AA36*W_DEMAND+AB36*W_QUALITY)/5*100)</f>
        <v/>
      </c>
      <c r="AD36" s="14">
        <f>IF(P36="","",IF(P36&gt;HARD_REJECT_PRICE,"Reject",IF(P36&gt;MAX_PRICE,"Price Review",IF(AC36="","",IF(AND(AC36&gt;=BUY_THRESHOLD,OR(AB36&lt;=2,U36&lt;=2)),"Maybe",IF(AC36&gt;=BUY_THRESHOLD,"Buy",IF(AC36&gt;=MAYBE_THRESHOLD,"Maybe","Reject")))))))</f>
        <v/>
      </c>
      <c r="AE36" s="14" t="n"/>
      <c r="AF36" s="14" t="n"/>
      <c r="AG36" s="14" t="n"/>
      <c r="AH36" s="14" t="n"/>
      <c r="AI36" s="15" t="n"/>
      <c r="AJ36">
        <f>IF(AC36="",-9999-ROW()*0.0000001,AC36-ROW()*0.0000001)</f>
        <v/>
      </c>
      <c r="AK36">
        <f>IF(OR(AC36="",P36="",P36&gt;MAX_PRICE),-9999-ROW()*0.0000001,AC36-ROW()*0.0000001)</f>
        <v/>
      </c>
      <c r="AL36">
        <f>IF(AC36="",-9999-ROW()*0.0000001,X36*1000+AC36-ROW()*0.0000001)</f>
        <v/>
      </c>
      <c r="AM36">
        <f>IF(AC36="",-9999-ROW()*0.0000001,Y36*1000+AC36-ROW()*0.0000001)</f>
        <v/>
      </c>
      <c r="AN36">
        <f>IF(AND(OR(AD36="Maybe",AD36="Price Review"),AG36&lt;&gt;"Approved",AG36&lt;&gt;"Rejected"),IF(AC36="",0,AC36)-ROW()*0.0000001,-9999-ROW()*0.0000001)</f>
        <v/>
      </c>
    </row>
    <row r="37">
      <c r="A37" s="9">
        <f>IF(C37="","","AYN-"&amp;UPPER(LEFT(E37,3))&amp;"-"&amp;TEXT(ROW()-2,"000"))</f>
        <v/>
      </c>
      <c r="B37" s="10" t="n"/>
      <c r="C37" s="9" t="n"/>
      <c r="D37" s="9" t="n"/>
      <c r="E37" s="9" t="n"/>
      <c r="F37" s="9" t="n"/>
      <c r="G37" s="9" t="n"/>
      <c r="H37" s="9" t="n"/>
      <c r="I37" s="9" t="n"/>
      <c r="J37" s="9" t="n"/>
      <c r="K37" s="11">
        <f>IF(I37="","",IF(J37="BDT",I37,IF(J37="USD",I37*USD_BDT,IF(J37="RMB",I37*RMB_BDT,""))))</f>
        <v/>
      </c>
      <c r="L37" s="11" t="n"/>
      <c r="M37" s="12" t="n"/>
      <c r="N37" s="11" t="n"/>
      <c r="O37" s="11">
        <f>IF(K37="","",K37+IFERROR(L37,0)+(K37*IF(M37="",CUSTOMS_PCT,M37))+IF(N37="",MISC_FEE,N37))</f>
        <v/>
      </c>
      <c r="P37" s="11">
        <f>IF(O37="","",ROUND(O37*(1+MARKUP_PCT),-1)-1)</f>
        <v/>
      </c>
      <c r="Q37" s="11">
        <f>IF(P37="","",P37-O37)</f>
        <v/>
      </c>
      <c r="R37" s="12">
        <f>IF(OR(P37="",P37=0),"",Q37/P37)</f>
        <v/>
      </c>
      <c r="S37" s="9" t="n"/>
      <c r="T37" s="9" t="n"/>
      <c r="U37" s="9" t="n"/>
      <c r="V37" s="9" t="n"/>
      <c r="W37" s="9" t="n"/>
      <c r="X37" s="9" t="n"/>
      <c r="Y37" s="9" t="n"/>
      <c r="Z37" s="9" t="n"/>
      <c r="AA37" s="9" t="n"/>
      <c r="AB37" s="9" t="n"/>
      <c r="AC37" s="13">
        <f>IF(COUNT(S37:AB37)&lt;10,"",(S37*W_FEMININE+T37*W_TREND+U37*W_AESTHETIC+V37*W_STYLE+W37*W_LIGHT+X37*W_REELS+Y37*W_GIFT+Z37*W_PRICEFIT+AA37*W_DEMAND+AB37*W_QUALITY)/5*100)</f>
        <v/>
      </c>
      <c r="AD37" s="9">
        <f>IF(P37="","",IF(P37&gt;HARD_REJECT_PRICE,"Reject",IF(P37&gt;MAX_PRICE,"Price Review",IF(AC37="","",IF(AND(AC37&gt;=BUY_THRESHOLD,OR(AB37&lt;=2,U37&lt;=2)),"Maybe",IF(AC37&gt;=BUY_THRESHOLD,"Buy",IF(AC37&gt;=MAYBE_THRESHOLD,"Maybe","Reject")))))))</f>
        <v/>
      </c>
      <c r="AE37" s="9" t="n"/>
      <c r="AF37" s="9" t="n"/>
      <c r="AG37" s="9" t="n"/>
      <c r="AH37" s="9" t="n"/>
      <c r="AI37" s="10" t="n"/>
      <c r="AJ37">
        <f>IF(AC37="",-9999-ROW()*0.0000001,AC37-ROW()*0.0000001)</f>
        <v/>
      </c>
      <c r="AK37">
        <f>IF(OR(AC37="",P37="",P37&gt;MAX_PRICE),-9999-ROW()*0.0000001,AC37-ROW()*0.0000001)</f>
        <v/>
      </c>
      <c r="AL37">
        <f>IF(AC37="",-9999-ROW()*0.0000001,X37*1000+AC37-ROW()*0.0000001)</f>
        <v/>
      </c>
      <c r="AM37">
        <f>IF(AC37="",-9999-ROW()*0.0000001,Y37*1000+AC37-ROW()*0.0000001)</f>
        <v/>
      </c>
      <c r="AN37">
        <f>IF(AND(OR(AD37="Maybe",AD37="Price Review"),AG37&lt;&gt;"Approved",AG37&lt;&gt;"Rejected"),IF(AC37="",0,AC37)-ROW()*0.0000001,-9999-ROW()*0.0000001)</f>
        <v/>
      </c>
    </row>
    <row r="38">
      <c r="A38" s="14">
        <f>IF(C38="","","AYN-"&amp;UPPER(LEFT(E38,3))&amp;"-"&amp;TEXT(ROW()-2,"000"))</f>
        <v/>
      </c>
      <c r="B38" s="15" t="n"/>
      <c r="C38" s="14" t="n"/>
      <c r="D38" s="14" t="n"/>
      <c r="E38" s="14" t="n"/>
      <c r="F38" s="14" t="n"/>
      <c r="G38" s="14" t="n"/>
      <c r="H38" s="14" t="n"/>
      <c r="I38" s="14" t="n"/>
      <c r="J38" s="14" t="n"/>
      <c r="K38" s="16">
        <f>IF(I38="","",IF(J38="BDT",I38,IF(J38="USD",I38*USD_BDT,IF(J38="RMB",I38*RMB_BDT,""))))</f>
        <v/>
      </c>
      <c r="L38" s="16" t="n"/>
      <c r="M38" s="17" t="n"/>
      <c r="N38" s="16" t="n"/>
      <c r="O38" s="16">
        <f>IF(K38="","",K38+IFERROR(L38,0)+(K38*IF(M38="",CUSTOMS_PCT,M38))+IF(N38="",MISC_FEE,N38))</f>
        <v/>
      </c>
      <c r="P38" s="16">
        <f>IF(O38="","",ROUND(O38*(1+MARKUP_PCT),-1)-1)</f>
        <v/>
      </c>
      <c r="Q38" s="16">
        <f>IF(P38="","",P38-O38)</f>
        <v/>
      </c>
      <c r="R38" s="17">
        <f>IF(OR(P38="",P38=0),"",Q38/P38)</f>
        <v/>
      </c>
      <c r="S38" s="14" t="n"/>
      <c r="T38" s="14" t="n"/>
      <c r="U38" s="14" t="n"/>
      <c r="V38" s="14" t="n"/>
      <c r="W38" s="14" t="n"/>
      <c r="X38" s="14" t="n"/>
      <c r="Y38" s="14" t="n"/>
      <c r="Z38" s="14" t="n"/>
      <c r="AA38" s="14" t="n"/>
      <c r="AB38" s="14" t="n"/>
      <c r="AC38" s="18">
        <f>IF(COUNT(S38:AB38)&lt;10,"",(S38*W_FEMININE+T38*W_TREND+U38*W_AESTHETIC+V38*W_STYLE+W38*W_LIGHT+X38*W_REELS+Y38*W_GIFT+Z38*W_PRICEFIT+AA38*W_DEMAND+AB38*W_QUALITY)/5*100)</f>
        <v/>
      </c>
      <c r="AD38" s="14">
        <f>IF(P38="","",IF(P38&gt;HARD_REJECT_PRICE,"Reject",IF(P38&gt;MAX_PRICE,"Price Review",IF(AC38="","",IF(AND(AC38&gt;=BUY_THRESHOLD,OR(AB38&lt;=2,U38&lt;=2)),"Maybe",IF(AC38&gt;=BUY_THRESHOLD,"Buy",IF(AC38&gt;=MAYBE_THRESHOLD,"Maybe","Reject")))))))</f>
        <v/>
      </c>
      <c r="AE38" s="14" t="n"/>
      <c r="AF38" s="14" t="n"/>
      <c r="AG38" s="14" t="n"/>
      <c r="AH38" s="14" t="n"/>
      <c r="AI38" s="15" t="n"/>
      <c r="AJ38">
        <f>IF(AC38="",-9999-ROW()*0.0000001,AC38-ROW()*0.0000001)</f>
        <v/>
      </c>
      <c r="AK38">
        <f>IF(OR(AC38="",P38="",P38&gt;MAX_PRICE),-9999-ROW()*0.0000001,AC38-ROW()*0.0000001)</f>
        <v/>
      </c>
      <c r="AL38">
        <f>IF(AC38="",-9999-ROW()*0.0000001,X38*1000+AC38-ROW()*0.0000001)</f>
        <v/>
      </c>
      <c r="AM38">
        <f>IF(AC38="",-9999-ROW()*0.0000001,Y38*1000+AC38-ROW()*0.0000001)</f>
        <v/>
      </c>
      <c r="AN38">
        <f>IF(AND(OR(AD38="Maybe",AD38="Price Review"),AG38&lt;&gt;"Approved",AG38&lt;&gt;"Rejected"),IF(AC38="",0,AC38)-ROW()*0.0000001,-9999-ROW()*0.0000001)</f>
        <v/>
      </c>
    </row>
    <row r="39">
      <c r="A39" s="9">
        <f>IF(C39="","","AYN-"&amp;UPPER(LEFT(E39,3))&amp;"-"&amp;TEXT(ROW()-2,"000"))</f>
        <v/>
      </c>
      <c r="B39" s="10" t="n"/>
      <c r="C39" s="9" t="n"/>
      <c r="D39" s="9" t="n"/>
      <c r="E39" s="9" t="n"/>
      <c r="F39" s="9" t="n"/>
      <c r="G39" s="9" t="n"/>
      <c r="H39" s="9" t="n"/>
      <c r="I39" s="9" t="n"/>
      <c r="J39" s="9" t="n"/>
      <c r="K39" s="11">
        <f>IF(I39="","",IF(J39="BDT",I39,IF(J39="USD",I39*USD_BDT,IF(J39="RMB",I39*RMB_BDT,""))))</f>
        <v/>
      </c>
      <c r="L39" s="11" t="n"/>
      <c r="M39" s="12" t="n"/>
      <c r="N39" s="11" t="n"/>
      <c r="O39" s="11">
        <f>IF(K39="","",K39+IFERROR(L39,0)+(K39*IF(M39="",CUSTOMS_PCT,M39))+IF(N39="",MISC_FEE,N39))</f>
        <v/>
      </c>
      <c r="P39" s="11">
        <f>IF(O39="","",ROUND(O39*(1+MARKUP_PCT),-1)-1)</f>
        <v/>
      </c>
      <c r="Q39" s="11">
        <f>IF(P39="","",P39-O39)</f>
        <v/>
      </c>
      <c r="R39" s="12">
        <f>IF(OR(P39="",P39=0),"",Q39/P39)</f>
        <v/>
      </c>
      <c r="S39" s="9" t="n"/>
      <c r="T39" s="9" t="n"/>
      <c r="U39" s="9" t="n"/>
      <c r="V39" s="9" t="n"/>
      <c r="W39" s="9" t="n"/>
      <c r="X39" s="9" t="n"/>
      <c r="Y39" s="9" t="n"/>
      <c r="Z39" s="9" t="n"/>
      <c r="AA39" s="9" t="n"/>
      <c r="AB39" s="9" t="n"/>
      <c r="AC39" s="13">
        <f>IF(COUNT(S39:AB39)&lt;10,"",(S39*W_FEMININE+T39*W_TREND+U39*W_AESTHETIC+V39*W_STYLE+W39*W_LIGHT+X39*W_REELS+Y39*W_GIFT+Z39*W_PRICEFIT+AA39*W_DEMAND+AB39*W_QUALITY)/5*100)</f>
        <v/>
      </c>
      <c r="AD39" s="9">
        <f>IF(P39="","",IF(P39&gt;HARD_REJECT_PRICE,"Reject",IF(P39&gt;MAX_PRICE,"Price Review",IF(AC39="","",IF(AND(AC39&gt;=BUY_THRESHOLD,OR(AB39&lt;=2,U39&lt;=2)),"Maybe",IF(AC39&gt;=BUY_THRESHOLD,"Buy",IF(AC39&gt;=MAYBE_THRESHOLD,"Maybe","Reject")))))))</f>
        <v/>
      </c>
      <c r="AE39" s="9" t="n"/>
      <c r="AF39" s="9" t="n"/>
      <c r="AG39" s="9" t="n"/>
      <c r="AH39" s="9" t="n"/>
      <c r="AI39" s="10" t="n"/>
      <c r="AJ39">
        <f>IF(AC39="",-9999-ROW()*0.0000001,AC39-ROW()*0.0000001)</f>
        <v/>
      </c>
      <c r="AK39">
        <f>IF(OR(AC39="",P39="",P39&gt;MAX_PRICE),-9999-ROW()*0.0000001,AC39-ROW()*0.0000001)</f>
        <v/>
      </c>
      <c r="AL39">
        <f>IF(AC39="",-9999-ROW()*0.0000001,X39*1000+AC39-ROW()*0.0000001)</f>
        <v/>
      </c>
      <c r="AM39">
        <f>IF(AC39="",-9999-ROW()*0.0000001,Y39*1000+AC39-ROW()*0.0000001)</f>
        <v/>
      </c>
      <c r="AN39">
        <f>IF(AND(OR(AD39="Maybe",AD39="Price Review"),AG39&lt;&gt;"Approved",AG39&lt;&gt;"Rejected"),IF(AC39="",0,AC39)-ROW()*0.0000001,-9999-ROW()*0.0000001)</f>
        <v/>
      </c>
    </row>
    <row r="40">
      <c r="A40" s="14">
        <f>IF(C40="","","AYN-"&amp;UPPER(LEFT(E40,3))&amp;"-"&amp;TEXT(ROW()-2,"000"))</f>
        <v/>
      </c>
      <c r="B40" s="15" t="n"/>
      <c r="C40" s="14" t="n"/>
      <c r="D40" s="14" t="n"/>
      <c r="E40" s="14" t="n"/>
      <c r="F40" s="14" t="n"/>
      <c r="G40" s="14" t="n"/>
      <c r="H40" s="14" t="n"/>
      <c r="I40" s="14" t="n"/>
      <c r="J40" s="14" t="n"/>
      <c r="K40" s="16">
        <f>IF(I40="","",IF(J40="BDT",I40,IF(J40="USD",I40*USD_BDT,IF(J40="RMB",I40*RMB_BDT,""))))</f>
        <v/>
      </c>
      <c r="L40" s="16" t="n"/>
      <c r="M40" s="17" t="n"/>
      <c r="N40" s="16" t="n"/>
      <c r="O40" s="16">
        <f>IF(K40="","",K40+IFERROR(L40,0)+(K40*IF(M40="",CUSTOMS_PCT,M40))+IF(N40="",MISC_FEE,N40))</f>
        <v/>
      </c>
      <c r="P40" s="16">
        <f>IF(O40="","",ROUND(O40*(1+MARKUP_PCT),-1)-1)</f>
        <v/>
      </c>
      <c r="Q40" s="16">
        <f>IF(P40="","",P40-O40)</f>
        <v/>
      </c>
      <c r="R40" s="17">
        <f>IF(OR(P40="",P40=0),"",Q40/P40)</f>
        <v/>
      </c>
      <c r="S40" s="14" t="n"/>
      <c r="T40" s="14" t="n"/>
      <c r="U40" s="14" t="n"/>
      <c r="V40" s="14" t="n"/>
      <c r="W40" s="14" t="n"/>
      <c r="X40" s="14" t="n"/>
      <c r="Y40" s="14" t="n"/>
      <c r="Z40" s="14" t="n"/>
      <c r="AA40" s="14" t="n"/>
      <c r="AB40" s="14" t="n"/>
      <c r="AC40" s="18">
        <f>IF(COUNT(S40:AB40)&lt;10,"",(S40*W_FEMININE+T40*W_TREND+U40*W_AESTHETIC+V40*W_STYLE+W40*W_LIGHT+X40*W_REELS+Y40*W_GIFT+Z40*W_PRICEFIT+AA40*W_DEMAND+AB40*W_QUALITY)/5*100)</f>
        <v/>
      </c>
      <c r="AD40" s="14">
        <f>IF(P40="","",IF(P40&gt;HARD_REJECT_PRICE,"Reject",IF(P40&gt;MAX_PRICE,"Price Review",IF(AC40="","",IF(AND(AC40&gt;=BUY_THRESHOLD,OR(AB40&lt;=2,U40&lt;=2)),"Maybe",IF(AC40&gt;=BUY_THRESHOLD,"Buy",IF(AC40&gt;=MAYBE_THRESHOLD,"Maybe","Reject")))))))</f>
        <v/>
      </c>
      <c r="AE40" s="14" t="n"/>
      <c r="AF40" s="14" t="n"/>
      <c r="AG40" s="14" t="n"/>
      <c r="AH40" s="14" t="n"/>
      <c r="AI40" s="15" t="n"/>
      <c r="AJ40">
        <f>IF(AC40="",-9999-ROW()*0.0000001,AC40-ROW()*0.0000001)</f>
        <v/>
      </c>
      <c r="AK40">
        <f>IF(OR(AC40="",P40="",P40&gt;MAX_PRICE),-9999-ROW()*0.0000001,AC40-ROW()*0.0000001)</f>
        <v/>
      </c>
      <c r="AL40">
        <f>IF(AC40="",-9999-ROW()*0.0000001,X40*1000+AC40-ROW()*0.0000001)</f>
        <v/>
      </c>
      <c r="AM40">
        <f>IF(AC40="",-9999-ROW()*0.0000001,Y40*1000+AC40-ROW()*0.0000001)</f>
        <v/>
      </c>
      <c r="AN40">
        <f>IF(AND(OR(AD40="Maybe",AD40="Price Review"),AG40&lt;&gt;"Approved",AG40&lt;&gt;"Rejected"),IF(AC40="",0,AC40)-ROW()*0.0000001,-9999-ROW()*0.0000001)</f>
        <v/>
      </c>
    </row>
    <row r="41">
      <c r="A41" s="9">
        <f>IF(C41="","","AYN-"&amp;UPPER(LEFT(E41,3))&amp;"-"&amp;TEXT(ROW()-2,"000"))</f>
        <v/>
      </c>
      <c r="B41" s="10" t="n"/>
      <c r="C41" s="9" t="n"/>
      <c r="D41" s="9" t="n"/>
      <c r="E41" s="9" t="n"/>
      <c r="F41" s="9" t="n"/>
      <c r="G41" s="9" t="n"/>
      <c r="H41" s="9" t="n"/>
      <c r="I41" s="9" t="n"/>
      <c r="J41" s="9" t="n"/>
      <c r="K41" s="11">
        <f>IF(I41="","",IF(J41="BDT",I41,IF(J41="USD",I41*USD_BDT,IF(J41="RMB",I41*RMB_BDT,""))))</f>
        <v/>
      </c>
      <c r="L41" s="11" t="n"/>
      <c r="M41" s="12" t="n"/>
      <c r="N41" s="11" t="n"/>
      <c r="O41" s="11">
        <f>IF(K41="","",K41+IFERROR(L41,0)+(K41*IF(M41="",CUSTOMS_PCT,M41))+IF(N41="",MISC_FEE,N41))</f>
        <v/>
      </c>
      <c r="P41" s="11">
        <f>IF(O41="","",ROUND(O41*(1+MARKUP_PCT),-1)-1)</f>
        <v/>
      </c>
      <c r="Q41" s="11">
        <f>IF(P41="","",P41-O41)</f>
        <v/>
      </c>
      <c r="R41" s="12">
        <f>IF(OR(P41="",P41=0),"",Q41/P41)</f>
        <v/>
      </c>
      <c r="S41" s="9" t="n"/>
      <c r="T41" s="9" t="n"/>
      <c r="U41" s="9" t="n"/>
      <c r="V41" s="9" t="n"/>
      <c r="W41" s="9" t="n"/>
      <c r="X41" s="9" t="n"/>
      <c r="Y41" s="9" t="n"/>
      <c r="Z41" s="9" t="n"/>
      <c r="AA41" s="9" t="n"/>
      <c r="AB41" s="9" t="n"/>
      <c r="AC41" s="13">
        <f>IF(COUNT(S41:AB41)&lt;10,"",(S41*W_FEMININE+T41*W_TREND+U41*W_AESTHETIC+V41*W_STYLE+W41*W_LIGHT+X41*W_REELS+Y41*W_GIFT+Z41*W_PRICEFIT+AA41*W_DEMAND+AB41*W_QUALITY)/5*100)</f>
        <v/>
      </c>
      <c r="AD41" s="9">
        <f>IF(P41="","",IF(P41&gt;HARD_REJECT_PRICE,"Reject",IF(P41&gt;MAX_PRICE,"Price Review",IF(AC41="","",IF(AND(AC41&gt;=BUY_THRESHOLD,OR(AB41&lt;=2,U41&lt;=2)),"Maybe",IF(AC41&gt;=BUY_THRESHOLD,"Buy",IF(AC41&gt;=MAYBE_THRESHOLD,"Maybe","Reject")))))))</f>
        <v/>
      </c>
      <c r="AE41" s="9" t="n"/>
      <c r="AF41" s="9" t="n"/>
      <c r="AG41" s="9" t="n"/>
      <c r="AH41" s="9" t="n"/>
      <c r="AI41" s="10" t="n"/>
      <c r="AJ41">
        <f>IF(AC41="",-9999-ROW()*0.0000001,AC41-ROW()*0.0000001)</f>
        <v/>
      </c>
      <c r="AK41">
        <f>IF(OR(AC41="",P41="",P41&gt;MAX_PRICE),-9999-ROW()*0.0000001,AC41-ROW()*0.0000001)</f>
        <v/>
      </c>
      <c r="AL41">
        <f>IF(AC41="",-9999-ROW()*0.0000001,X41*1000+AC41-ROW()*0.0000001)</f>
        <v/>
      </c>
      <c r="AM41">
        <f>IF(AC41="",-9999-ROW()*0.0000001,Y41*1000+AC41-ROW()*0.0000001)</f>
        <v/>
      </c>
      <c r="AN41">
        <f>IF(AND(OR(AD41="Maybe",AD41="Price Review"),AG41&lt;&gt;"Approved",AG41&lt;&gt;"Rejected"),IF(AC41="",0,AC41)-ROW()*0.0000001,-9999-ROW()*0.0000001)</f>
        <v/>
      </c>
    </row>
    <row r="42">
      <c r="A42" s="14">
        <f>IF(C42="","","AYN-"&amp;UPPER(LEFT(E42,3))&amp;"-"&amp;TEXT(ROW()-2,"000"))</f>
        <v/>
      </c>
      <c r="B42" s="15" t="n"/>
      <c r="C42" s="14" t="n"/>
      <c r="D42" s="14" t="n"/>
      <c r="E42" s="14" t="n"/>
      <c r="F42" s="14" t="n"/>
      <c r="G42" s="14" t="n"/>
      <c r="H42" s="14" t="n"/>
      <c r="I42" s="14" t="n"/>
      <c r="J42" s="14" t="n"/>
      <c r="K42" s="16">
        <f>IF(I42="","",IF(J42="BDT",I42,IF(J42="USD",I42*USD_BDT,IF(J42="RMB",I42*RMB_BDT,""))))</f>
        <v/>
      </c>
      <c r="L42" s="16" t="n"/>
      <c r="M42" s="17" t="n"/>
      <c r="N42" s="16" t="n"/>
      <c r="O42" s="16">
        <f>IF(K42="","",K42+IFERROR(L42,0)+(K42*IF(M42="",CUSTOMS_PCT,M42))+IF(N42="",MISC_FEE,N42))</f>
        <v/>
      </c>
      <c r="P42" s="16">
        <f>IF(O42="","",ROUND(O42*(1+MARKUP_PCT),-1)-1)</f>
        <v/>
      </c>
      <c r="Q42" s="16">
        <f>IF(P42="","",P42-O42)</f>
        <v/>
      </c>
      <c r="R42" s="17">
        <f>IF(OR(P42="",P42=0),"",Q42/P42)</f>
        <v/>
      </c>
      <c r="S42" s="14" t="n"/>
      <c r="T42" s="14" t="n"/>
      <c r="U42" s="14" t="n"/>
      <c r="V42" s="14" t="n"/>
      <c r="W42" s="14" t="n"/>
      <c r="X42" s="14" t="n"/>
      <c r="Y42" s="14" t="n"/>
      <c r="Z42" s="14" t="n"/>
      <c r="AA42" s="14" t="n"/>
      <c r="AB42" s="14" t="n"/>
      <c r="AC42" s="18">
        <f>IF(COUNT(S42:AB42)&lt;10,"",(S42*W_FEMININE+T42*W_TREND+U42*W_AESTHETIC+V42*W_STYLE+W42*W_LIGHT+X42*W_REELS+Y42*W_GIFT+Z42*W_PRICEFIT+AA42*W_DEMAND+AB42*W_QUALITY)/5*100)</f>
        <v/>
      </c>
      <c r="AD42" s="14">
        <f>IF(P42="","",IF(P42&gt;HARD_REJECT_PRICE,"Reject",IF(P42&gt;MAX_PRICE,"Price Review",IF(AC42="","",IF(AND(AC42&gt;=BUY_THRESHOLD,OR(AB42&lt;=2,U42&lt;=2)),"Maybe",IF(AC42&gt;=BUY_THRESHOLD,"Buy",IF(AC42&gt;=MAYBE_THRESHOLD,"Maybe","Reject")))))))</f>
        <v/>
      </c>
      <c r="AE42" s="14" t="n"/>
      <c r="AF42" s="14" t="n"/>
      <c r="AG42" s="14" t="n"/>
      <c r="AH42" s="14" t="n"/>
      <c r="AI42" s="15" t="n"/>
      <c r="AJ42">
        <f>IF(AC42="",-9999-ROW()*0.0000001,AC42-ROW()*0.0000001)</f>
        <v/>
      </c>
      <c r="AK42">
        <f>IF(OR(AC42="",P42="",P42&gt;MAX_PRICE),-9999-ROW()*0.0000001,AC42-ROW()*0.0000001)</f>
        <v/>
      </c>
      <c r="AL42">
        <f>IF(AC42="",-9999-ROW()*0.0000001,X42*1000+AC42-ROW()*0.0000001)</f>
        <v/>
      </c>
      <c r="AM42">
        <f>IF(AC42="",-9999-ROW()*0.0000001,Y42*1000+AC42-ROW()*0.0000001)</f>
        <v/>
      </c>
      <c r="AN42">
        <f>IF(AND(OR(AD42="Maybe",AD42="Price Review"),AG42&lt;&gt;"Approved",AG42&lt;&gt;"Rejected"),IF(AC42="",0,AC42)-ROW()*0.0000001,-9999-ROW()*0.0000001)</f>
        <v/>
      </c>
    </row>
  </sheetData>
  <mergeCells count="2">
    <mergeCell ref="I1:R1"/>
    <mergeCell ref="A1:H1"/>
  </mergeCells>
  <conditionalFormatting sqref="AD3:AD42">
    <cfRule type="cellIs" priority="1" operator="equal" dxfId="0">
      <formula>"Buy"</formula>
    </cfRule>
    <cfRule type="cellIs" priority="2" operator="equal" dxfId="1">
      <formula>"Maybe"</formula>
    </cfRule>
    <cfRule type="cellIs" priority="3" operator="equal" dxfId="2">
      <formula>"Price Review"</formula>
    </cfRule>
    <cfRule type="cellIs" priority="4" operator="equal" dxfId="3">
      <formula>"Reject"</formula>
    </cfRule>
  </conditionalFormatting>
  <conditionalFormatting sqref="P3:P42">
    <cfRule type="expression" priority="5" dxfId="4">
      <formula>P3&gt;HARD_REJECT_PRICE</formula>
    </cfRule>
    <cfRule type="expression" priority="6" dxfId="5">
      <formula>AND(P3&gt;MAX_PRICE,P3&lt;=HARD_REJECT_PRICE)</formula>
    </cfRule>
  </conditionalFormatting>
  <conditionalFormatting sqref="U3:U42">
    <cfRule type="cellIs" priority="7" operator="lessThanOrEqual" dxfId="3">
      <formula>2</formula>
    </cfRule>
  </conditionalFormatting>
  <conditionalFormatting sqref="AB3:AB42">
    <cfRule type="cellIs" priority="8" operator="lessThanOrEqual" dxfId="3">
      <formula>2</formula>
    </cfRule>
  </conditionalFormatting>
  <conditionalFormatting sqref="AG3:AG42">
    <cfRule type="cellIs" priority="9" operator="equal" dxfId="6">
      <formula>"Approved"</formula>
    </cfRule>
    <cfRule type="cellIs" priority="10" operator="equal" dxfId="7">
      <formula>"Rejected"</formula>
    </cfRule>
    <cfRule type="cellIs" priority="11" operator="equal" dxfId="8">
      <formula>"Pending"</formula>
    </cfRule>
  </conditionalFormatting>
  <dataValidations count="14">
    <dataValidation sqref="F3:F42" showDropDown="0" showInputMessage="0" showErrorMessage="0" allowBlank="1" errorTitle="Invalid entry" error="Please choose a value from the list." promptTitle="Choose from list" prompt="Where this product is sourced from" type="list">
      <formula1>LIST_PLATFORM</formula1>
    </dataValidation>
    <dataValidation sqref="E3:E42" showDropDown="0" showInputMessage="0" showErrorMessage="0" allowBlank="1" errorTitle="Invalid entry" error="Please choose a value from the list." promptTitle="Choose from list" prompt="Product category" type="list">
      <formula1>LIST_CATEGORY</formula1>
    </dataValidation>
    <dataValidation sqref="J3:J42" showDropDown="0" showInputMessage="0" showErrorMessage="0" allowBlank="1" errorTitle="Invalid entry" error="Please choose a value from the list." promptTitle="Choose from list" prompt="Currency the unit cost is quoted in" type="list">
      <formula1>LIST_CURRENCY</formula1>
    </dataValidation>
    <dataValidation sqref="AG3:AG42" showDropDown="0" showInputMessage="0" showErrorMessage="0" allowBlank="1" errorTitle="Invalid entry" error="Please choose a value from the list." promptTitle="Choose from list" prompt="Partner approval status" type="list">
      <formula1>LIST_APPROVAL</formula1>
    </dataValidation>
    <dataValidation sqref="S3:S42" showDropDown="0" showInputMessage="0" showErrorMessage="0" allowBlank="1" errorTitle="Invalid entry" error="Please choose a value from the list." promptTitle="Choose from list" prompt="Score 1 (worst) to 5 (best)" type="list">
      <formula1>LIST_SCORE</formula1>
    </dataValidation>
    <dataValidation sqref="T3:T42" showDropDown="0" showInputMessage="0" showErrorMessage="0" allowBlank="1" errorTitle="Invalid entry" error="Please choose a value from the list." promptTitle="Choose from list" prompt="Score 1 (worst) to 5 (best)" type="list">
      <formula1>LIST_SCORE</formula1>
    </dataValidation>
    <dataValidation sqref="U3:U42" showDropDown="0" showInputMessage="0" showErrorMessage="0" allowBlank="1" errorTitle="Invalid entry" error="Please choose a value from the list." promptTitle="Choose from list" prompt="Score 1 (worst) to 5 (best)" type="list">
      <formula1>LIST_SCORE</formula1>
    </dataValidation>
    <dataValidation sqref="V3:V42" showDropDown="0" showInputMessage="0" showErrorMessage="0" allowBlank="1" errorTitle="Invalid entry" error="Please choose a value from the list." promptTitle="Choose from list" prompt="Score 1 (worst) to 5 (best)" type="list">
      <formula1>LIST_SCORE</formula1>
    </dataValidation>
    <dataValidation sqref="W3:W42" showDropDown="0" showInputMessage="0" showErrorMessage="0" allowBlank="1" errorTitle="Invalid entry" error="Please choose a value from the list." promptTitle="Choose from list" prompt="Score 1 (worst) to 5 (best)" type="list">
      <formula1>LIST_SCORE</formula1>
    </dataValidation>
    <dataValidation sqref="X3:X42" showDropDown="0" showInputMessage="0" showErrorMessage="0" allowBlank="1" errorTitle="Invalid entry" error="Please choose a value from the list." promptTitle="Choose from list" prompt="Score 1 (worst) to 5 (best)" type="list">
      <formula1>LIST_SCORE</formula1>
    </dataValidation>
    <dataValidation sqref="Y3:Y42" showDropDown="0" showInputMessage="0" showErrorMessage="0" allowBlank="1" errorTitle="Invalid entry" error="Please choose a value from the list." promptTitle="Choose from list" prompt="Score 1 (worst) to 5 (best)" type="list">
      <formula1>LIST_SCORE</formula1>
    </dataValidation>
    <dataValidation sqref="Z3:Z42" showDropDown="0" showInputMessage="0" showErrorMessage="0" allowBlank="1" errorTitle="Invalid entry" error="Please choose a value from the list." promptTitle="Choose from list" prompt="Score 1 (worst) to 5 (best)" type="list">
      <formula1>LIST_SCORE</formula1>
    </dataValidation>
    <dataValidation sqref="AA3:AA42" showDropDown="0" showInputMessage="0" showErrorMessage="0" allowBlank="1" errorTitle="Invalid entry" error="Please choose a value from the list." promptTitle="Choose from list" prompt="Score 1 (worst) to 5 (best)" type="list">
      <formula1>LIST_SCORE</formula1>
    </dataValidation>
    <dataValidation sqref="AB3:AB42" showDropDown="0" showInputMessage="0" showErrorMessage="0" allowBlank="1" errorTitle="Invalid entry" error="Please choose a value from the list." promptTitle="Choose from list" prompt="Score 1 (worst) to 5 (best)" type="list">
      <formula1>LIST_SCORE</formula1>
    </dataValidation>
  </dataValidations>
  <pageMargins left="0.75" right="0.75" top="1" bottom="1" header="0.5" footer="0.5"/>
</worksheet>
</file>

<file path=xl/worksheets/sheet2.xml><?xml version="1.0" encoding="utf-8"?>
<worksheet xmlns="http://schemas.openxmlformats.org/spreadsheetml/2006/main">
  <sheetPr>
    <tabColor rgb="008FA98E"/>
    <outlinePr summaryBelow="1" summaryRight="1"/>
    <pageSetUpPr/>
  </sheetPr>
  <dimension ref="A1:F61"/>
  <sheetViews>
    <sheetView workbookViewId="0">
      <selection activeCell="A1" sqref="A1"/>
    </sheetView>
  </sheetViews>
  <sheetFormatPr baseColWidth="8" defaultRowHeight="15"/>
  <cols>
    <col width="6" customWidth="1" min="1" max="1"/>
    <col width="30" customWidth="1" min="2" max="2"/>
    <col width="12" customWidth="1" min="3" max="3"/>
    <col width="12" customWidth="1" min="4" max="4"/>
    <col width="14" customWidth="1" min="5" max="5"/>
    <col width="16" customWidth="1" min="6" max="6"/>
  </cols>
  <sheetData>
    <row r="1">
      <c r="A1" s="1" t="inlineStr">
        <is>
          <t>AAYNA Product Scout Lite — Dashboard</t>
        </is>
      </c>
    </row>
    <row r="2">
      <c r="A2" s="19" t="inlineStr">
        <is>
          <t>Live view of the Product Tracker tab. Nothing here is editable — everything updates automatically.</t>
        </is>
      </c>
    </row>
    <row r="4">
      <c r="A4" s="20" t="inlineStr">
        <is>
          <t>Summary</t>
        </is>
      </c>
    </row>
    <row r="5">
      <c r="A5" s="21" t="inlineStr">
        <is>
          <t>Total products scouted</t>
        </is>
      </c>
      <c r="B5" s="22">
        <f>COUNTA('Product Tracker'!C3:C42)</f>
        <v/>
      </c>
    </row>
    <row r="6">
      <c r="A6" s="21" t="inlineStr">
        <is>
          <t>Buy</t>
        </is>
      </c>
      <c r="B6" s="22">
        <f>COUNTIF('Product Tracker'!AD3:AD42,"Buy")</f>
        <v/>
      </c>
    </row>
    <row r="7">
      <c r="A7" s="21" t="inlineStr">
        <is>
          <t>Maybe</t>
        </is>
      </c>
      <c r="B7" s="22">
        <f>COUNTIF('Product Tracker'!AD3:AD42,"Maybe")</f>
        <v/>
      </c>
    </row>
    <row r="8">
      <c r="A8" s="21" t="inlineStr">
        <is>
          <t>Price Review</t>
        </is>
      </c>
      <c r="B8" s="22">
        <f>COUNTIF('Product Tracker'!AD3:AD42,"Price Review")</f>
        <v/>
      </c>
    </row>
    <row r="9">
      <c r="A9" s="21" t="inlineStr">
        <is>
          <t>Reject</t>
        </is>
      </c>
      <c r="B9" s="22">
        <f>COUNTIF('Product Tracker'!AD3:AD42,"Reject")</f>
        <v/>
      </c>
    </row>
    <row r="12">
      <c r="A12" s="20" t="inlineStr">
        <is>
          <t>Top 10 Highest Scoring Products</t>
        </is>
      </c>
    </row>
    <row r="13">
      <c r="A13" s="23" t="inlineStr">
        <is>
          <t>Rank</t>
        </is>
      </c>
      <c r="B13" s="23" t="inlineStr">
        <is>
          <t>Product Name</t>
        </is>
      </c>
      <c r="C13" s="23" t="inlineStr">
        <is>
          <t>SKU</t>
        </is>
      </c>
      <c r="D13" s="23" t="inlineStr">
        <is>
          <t>Score</t>
        </is>
      </c>
      <c r="E13" s="23" t="inlineStr">
        <is>
          <t>Decision</t>
        </is>
      </c>
      <c r="F13" s="23" t="inlineStr">
        <is>
          <t>Suggested Price</t>
        </is>
      </c>
    </row>
    <row r="14">
      <c r="A14" s="24" t="n">
        <v>1</v>
      </c>
      <c r="B14" s="25">
        <f>IF(LARGE('Product Tracker'!$AJ$3:$AJ$42,1)&gt;-9000,IFERROR(INDEX('Product Tracker'!$C$3:$C$42,MATCH(LARGE('Product Tracker'!$AJ$3:$AJ$42,1),'Product Tracker'!$AJ$3:$AJ$42,0)),""),"")</f>
        <v/>
      </c>
      <c r="C14" s="25">
        <f>IF(LARGE('Product Tracker'!$AJ$3:$AJ$42,1)&gt;-9000,IFERROR(INDEX('Product Tracker'!$A$3:$A$42,MATCH(LARGE('Product Tracker'!$AJ$3:$AJ$42,1),'Product Tracker'!$AJ$3:$AJ$42,0)),""),"")</f>
        <v/>
      </c>
      <c r="D14" s="26">
        <f>IF(LARGE('Product Tracker'!$AJ$3:$AJ$42,1)&gt;-9000,IFERROR(INDEX('Product Tracker'!$AC$3:$AC$42,MATCH(LARGE('Product Tracker'!$AJ$3:$AJ$42,1),'Product Tracker'!$AJ$3:$AJ$42,0)),""),"")</f>
        <v/>
      </c>
      <c r="E14" s="24">
        <f>IF(LARGE('Product Tracker'!$AJ$3:$AJ$42,1)&gt;-9000,IFERROR(INDEX('Product Tracker'!$AD$3:$AD$42,MATCH(LARGE('Product Tracker'!$AJ$3:$AJ$42,1),'Product Tracker'!$AJ$3:$AJ$42,0)),""),"")</f>
        <v/>
      </c>
      <c r="F14" s="27">
        <f>IF(LARGE('Product Tracker'!$AJ$3:$AJ$42,1)&gt;-9000,IFERROR(INDEX('Product Tracker'!$P$3:$P$42,MATCH(LARGE('Product Tracker'!$AJ$3:$AJ$42,1),'Product Tracker'!$AJ$3:$AJ$42,0)),""),"")</f>
        <v/>
      </c>
    </row>
    <row r="15">
      <c r="A15" s="24" t="n">
        <v>2</v>
      </c>
      <c r="B15" s="25">
        <f>IF(LARGE('Product Tracker'!$AJ$3:$AJ$42,2)&gt;-9000,IFERROR(INDEX('Product Tracker'!$C$3:$C$42,MATCH(LARGE('Product Tracker'!$AJ$3:$AJ$42,2),'Product Tracker'!$AJ$3:$AJ$42,0)),""),"")</f>
        <v/>
      </c>
      <c r="C15" s="25">
        <f>IF(LARGE('Product Tracker'!$AJ$3:$AJ$42,2)&gt;-9000,IFERROR(INDEX('Product Tracker'!$A$3:$A$42,MATCH(LARGE('Product Tracker'!$AJ$3:$AJ$42,2),'Product Tracker'!$AJ$3:$AJ$42,0)),""),"")</f>
        <v/>
      </c>
      <c r="D15" s="26">
        <f>IF(LARGE('Product Tracker'!$AJ$3:$AJ$42,2)&gt;-9000,IFERROR(INDEX('Product Tracker'!$AC$3:$AC$42,MATCH(LARGE('Product Tracker'!$AJ$3:$AJ$42,2),'Product Tracker'!$AJ$3:$AJ$42,0)),""),"")</f>
        <v/>
      </c>
      <c r="E15" s="24">
        <f>IF(LARGE('Product Tracker'!$AJ$3:$AJ$42,2)&gt;-9000,IFERROR(INDEX('Product Tracker'!$AD$3:$AD$42,MATCH(LARGE('Product Tracker'!$AJ$3:$AJ$42,2),'Product Tracker'!$AJ$3:$AJ$42,0)),""),"")</f>
        <v/>
      </c>
      <c r="F15" s="27">
        <f>IF(LARGE('Product Tracker'!$AJ$3:$AJ$42,2)&gt;-9000,IFERROR(INDEX('Product Tracker'!$P$3:$P$42,MATCH(LARGE('Product Tracker'!$AJ$3:$AJ$42,2),'Product Tracker'!$AJ$3:$AJ$42,0)),""),"")</f>
        <v/>
      </c>
    </row>
    <row r="16">
      <c r="A16" s="24" t="n">
        <v>3</v>
      </c>
      <c r="B16" s="25">
        <f>IF(LARGE('Product Tracker'!$AJ$3:$AJ$42,3)&gt;-9000,IFERROR(INDEX('Product Tracker'!$C$3:$C$42,MATCH(LARGE('Product Tracker'!$AJ$3:$AJ$42,3),'Product Tracker'!$AJ$3:$AJ$42,0)),""),"")</f>
        <v/>
      </c>
      <c r="C16" s="25">
        <f>IF(LARGE('Product Tracker'!$AJ$3:$AJ$42,3)&gt;-9000,IFERROR(INDEX('Product Tracker'!$A$3:$A$42,MATCH(LARGE('Product Tracker'!$AJ$3:$AJ$42,3),'Product Tracker'!$AJ$3:$AJ$42,0)),""),"")</f>
        <v/>
      </c>
      <c r="D16" s="26">
        <f>IF(LARGE('Product Tracker'!$AJ$3:$AJ$42,3)&gt;-9000,IFERROR(INDEX('Product Tracker'!$AC$3:$AC$42,MATCH(LARGE('Product Tracker'!$AJ$3:$AJ$42,3),'Product Tracker'!$AJ$3:$AJ$42,0)),""),"")</f>
        <v/>
      </c>
      <c r="E16" s="24">
        <f>IF(LARGE('Product Tracker'!$AJ$3:$AJ$42,3)&gt;-9000,IFERROR(INDEX('Product Tracker'!$AD$3:$AD$42,MATCH(LARGE('Product Tracker'!$AJ$3:$AJ$42,3),'Product Tracker'!$AJ$3:$AJ$42,0)),""),"")</f>
        <v/>
      </c>
      <c r="F16" s="27">
        <f>IF(LARGE('Product Tracker'!$AJ$3:$AJ$42,3)&gt;-9000,IFERROR(INDEX('Product Tracker'!$P$3:$P$42,MATCH(LARGE('Product Tracker'!$AJ$3:$AJ$42,3),'Product Tracker'!$AJ$3:$AJ$42,0)),""),"")</f>
        <v/>
      </c>
    </row>
    <row r="17">
      <c r="A17" s="24" t="n">
        <v>4</v>
      </c>
      <c r="B17" s="25">
        <f>IF(LARGE('Product Tracker'!$AJ$3:$AJ$42,4)&gt;-9000,IFERROR(INDEX('Product Tracker'!$C$3:$C$42,MATCH(LARGE('Product Tracker'!$AJ$3:$AJ$42,4),'Product Tracker'!$AJ$3:$AJ$42,0)),""),"")</f>
        <v/>
      </c>
      <c r="C17" s="25">
        <f>IF(LARGE('Product Tracker'!$AJ$3:$AJ$42,4)&gt;-9000,IFERROR(INDEX('Product Tracker'!$A$3:$A$42,MATCH(LARGE('Product Tracker'!$AJ$3:$AJ$42,4),'Product Tracker'!$AJ$3:$AJ$42,0)),""),"")</f>
        <v/>
      </c>
      <c r="D17" s="26">
        <f>IF(LARGE('Product Tracker'!$AJ$3:$AJ$42,4)&gt;-9000,IFERROR(INDEX('Product Tracker'!$AC$3:$AC$42,MATCH(LARGE('Product Tracker'!$AJ$3:$AJ$42,4),'Product Tracker'!$AJ$3:$AJ$42,0)),""),"")</f>
        <v/>
      </c>
      <c r="E17" s="24">
        <f>IF(LARGE('Product Tracker'!$AJ$3:$AJ$42,4)&gt;-9000,IFERROR(INDEX('Product Tracker'!$AD$3:$AD$42,MATCH(LARGE('Product Tracker'!$AJ$3:$AJ$42,4),'Product Tracker'!$AJ$3:$AJ$42,0)),""),"")</f>
        <v/>
      </c>
      <c r="F17" s="27">
        <f>IF(LARGE('Product Tracker'!$AJ$3:$AJ$42,4)&gt;-9000,IFERROR(INDEX('Product Tracker'!$P$3:$P$42,MATCH(LARGE('Product Tracker'!$AJ$3:$AJ$42,4),'Product Tracker'!$AJ$3:$AJ$42,0)),""),"")</f>
        <v/>
      </c>
    </row>
    <row r="18">
      <c r="A18" s="24" t="n">
        <v>5</v>
      </c>
      <c r="B18" s="25">
        <f>IF(LARGE('Product Tracker'!$AJ$3:$AJ$42,5)&gt;-9000,IFERROR(INDEX('Product Tracker'!$C$3:$C$42,MATCH(LARGE('Product Tracker'!$AJ$3:$AJ$42,5),'Product Tracker'!$AJ$3:$AJ$42,0)),""),"")</f>
        <v/>
      </c>
      <c r="C18" s="25">
        <f>IF(LARGE('Product Tracker'!$AJ$3:$AJ$42,5)&gt;-9000,IFERROR(INDEX('Product Tracker'!$A$3:$A$42,MATCH(LARGE('Product Tracker'!$AJ$3:$AJ$42,5),'Product Tracker'!$AJ$3:$AJ$42,0)),""),"")</f>
        <v/>
      </c>
      <c r="D18" s="26">
        <f>IF(LARGE('Product Tracker'!$AJ$3:$AJ$42,5)&gt;-9000,IFERROR(INDEX('Product Tracker'!$AC$3:$AC$42,MATCH(LARGE('Product Tracker'!$AJ$3:$AJ$42,5),'Product Tracker'!$AJ$3:$AJ$42,0)),""),"")</f>
        <v/>
      </c>
      <c r="E18" s="24">
        <f>IF(LARGE('Product Tracker'!$AJ$3:$AJ$42,5)&gt;-9000,IFERROR(INDEX('Product Tracker'!$AD$3:$AD$42,MATCH(LARGE('Product Tracker'!$AJ$3:$AJ$42,5),'Product Tracker'!$AJ$3:$AJ$42,0)),""),"")</f>
        <v/>
      </c>
      <c r="F18" s="27">
        <f>IF(LARGE('Product Tracker'!$AJ$3:$AJ$42,5)&gt;-9000,IFERROR(INDEX('Product Tracker'!$P$3:$P$42,MATCH(LARGE('Product Tracker'!$AJ$3:$AJ$42,5),'Product Tracker'!$AJ$3:$AJ$42,0)),""),"")</f>
        <v/>
      </c>
    </row>
    <row r="19">
      <c r="A19" s="24" t="n">
        <v>6</v>
      </c>
      <c r="B19" s="25">
        <f>IF(LARGE('Product Tracker'!$AJ$3:$AJ$42,6)&gt;-9000,IFERROR(INDEX('Product Tracker'!$C$3:$C$42,MATCH(LARGE('Product Tracker'!$AJ$3:$AJ$42,6),'Product Tracker'!$AJ$3:$AJ$42,0)),""),"")</f>
        <v/>
      </c>
      <c r="C19" s="25">
        <f>IF(LARGE('Product Tracker'!$AJ$3:$AJ$42,6)&gt;-9000,IFERROR(INDEX('Product Tracker'!$A$3:$A$42,MATCH(LARGE('Product Tracker'!$AJ$3:$AJ$42,6),'Product Tracker'!$AJ$3:$AJ$42,0)),""),"")</f>
        <v/>
      </c>
      <c r="D19" s="26">
        <f>IF(LARGE('Product Tracker'!$AJ$3:$AJ$42,6)&gt;-9000,IFERROR(INDEX('Product Tracker'!$AC$3:$AC$42,MATCH(LARGE('Product Tracker'!$AJ$3:$AJ$42,6),'Product Tracker'!$AJ$3:$AJ$42,0)),""),"")</f>
        <v/>
      </c>
      <c r="E19" s="24">
        <f>IF(LARGE('Product Tracker'!$AJ$3:$AJ$42,6)&gt;-9000,IFERROR(INDEX('Product Tracker'!$AD$3:$AD$42,MATCH(LARGE('Product Tracker'!$AJ$3:$AJ$42,6),'Product Tracker'!$AJ$3:$AJ$42,0)),""),"")</f>
        <v/>
      </c>
      <c r="F19" s="27">
        <f>IF(LARGE('Product Tracker'!$AJ$3:$AJ$42,6)&gt;-9000,IFERROR(INDEX('Product Tracker'!$P$3:$P$42,MATCH(LARGE('Product Tracker'!$AJ$3:$AJ$42,6),'Product Tracker'!$AJ$3:$AJ$42,0)),""),"")</f>
        <v/>
      </c>
    </row>
    <row r="20">
      <c r="A20" s="24" t="n">
        <v>7</v>
      </c>
      <c r="B20" s="25">
        <f>IF(LARGE('Product Tracker'!$AJ$3:$AJ$42,7)&gt;-9000,IFERROR(INDEX('Product Tracker'!$C$3:$C$42,MATCH(LARGE('Product Tracker'!$AJ$3:$AJ$42,7),'Product Tracker'!$AJ$3:$AJ$42,0)),""),"")</f>
        <v/>
      </c>
      <c r="C20" s="25">
        <f>IF(LARGE('Product Tracker'!$AJ$3:$AJ$42,7)&gt;-9000,IFERROR(INDEX('Product Tracker'!$A$3:$A$42,MATCH(LARGE('Product Tracker'!$AJ$3:$AJ$42,7),'Product Tracker'!$AJ$3:$AJ$42,0)),""),"")</f>
        <v/>
      </c>
      <c r="D20" s="26">
        <f>IF(LARGE('Product Tracker'!$AJ$3:$AJ$42,7)&gt;-9000,IFERROR(INDEX('Product Tracker'!$AC$3:$AC$42,MATCH(LARGE('Product Tracker'!$AJ$3:$AJ$42,7),'Product Tracker'!$AJ$3:$AJ$42,0)),""),"")</f>
        <v/>
      </c>
      <c r="E20" s="24">
        <f>IF(LARGE('Product Tracker'!$AJ$3:$AJ$42,7)&gt;-9000,IFERROR(INDEX('Product Tracker'!$AD$3:$AD$42,MATCH(LARGE('Product Tracker'!$AJ$3:$AJ$42,7),'Product Tracker'!$AJ$3:$AJ$42,0)),""),"")</f>
        <v/>
      </c>
      <c r="F20" s="27">
        <f>IF(LARGE('Product Tracker'!$AJ$3:$AJ$42,7)&gt;-9000,IFERROR(INDEX('Product Tracker'!$P$3:$P$42,MATCH(LARGE('Product Tracker'!$AJ$3:$AJ$42,7),'Product Tracker'!$AJ$3:$AJ$42,0)),""),"")</f>
        <v/>
      </c>
    </row>
    <row r="21">
      <c r="A21" s="24" t="n">
        <v>8</v>
      </c>
      <c r="B21" s="25">
        <f>IF(LARGE('Product Tracker'!$AJ$3:$AJ$42,8)&gt;-9000,IFERROR(INDEX('Product Tracker'!$C$3:$C$42,MATCH(LARGE('Product Tracker'!$AJ$3:$AJ$42,8),'Product Tracker'!$AJ$3:$AJ$42,0)),""),"")</f>
        <v/>
      </c>
      <c r="C21" s="25">
        <f>IF(LARGE('Product Tracker'!$AJ$3:$AJ$42,8)&gt;-9000,IFERROR(INDEX('Product Tracker'!$A$3:$A$42,MATCH(LARGE('Product Tracker'!$AJ$3:$AJ$42,8),'Product Tracker'!$AJ$3:$AJ$42,0)),""),"")</f>
        <v/>
      </c>
      <c r="D21" s="26">
        <f>IF(LARGE('Product Tracker'!$AJ$3:$AJ$42,8)&gt;-9000,IFERROR(INDEX('Product Tracker'!$AC$3:$AC$42,MATCH(LARGE('Product Tracker'!$AJ$3:$AJ$42,8),'Product Tracker'!$AJ$3:$AJ$42,0)),""),"")</f>
        <v/>
      </c>
      <c r="E21" s="24">
        <f>IF(LARGE('Product Tracker'!$AJ$3:$AJ$42,8)&gt;-9000,IFERROR(INDEX('Product Tracker'!$AD$3:$AD$42,MATCH(LARGE('Product Tracker'!$AJ$3:$AJ$42,8),'Product Tracker'!$AJ$3:$AJ$42,0)),""),"")</f>
        <v/>
      </c>
      <c r="F21" s="27">
        <f>IF(LARGE('Product Tracker'!$AJ$3:$AJ$42,8)&gt;-9000,IFERROR(INDEX('Product Tracker'!$P$3:$P$42,MATCH(LARGE('Product Tracker'!$AJ$3:$AJ$42,8),'Product Tracker'!$AJ$3:$AJ$42,0)),""),"")</f>
        <v/>
      </c>
    </row>
    <row r="22">
      <c r="A22" s="24" t="n">
        <v>9</v>
      </c>
      <c r="B22" s="25">
        <f>IF(LARGE('Product Tracker'!$AJ$3:$AJ$42,9)&gt;-9000,IFERROR(INDEX('Product Tracker'!$C$3:$C$42,MATCH(LARGE('Product Tracker'!$AJ$3:$AJ$42,9),'Product Tracker'!$AJ$3:$AJ$42,0)),""),"")</f>
        <v/>
      </c>
      <c r="C22" s="25">
        <f>IF(LARGE('Product Tracker'!$AJ$3:$AJ$42,9)&gt;-9000,IFERROR(INDEX('Product Tracker'!$A$3:$A$42,MATCH(LARGE('Product Tracker'!$AJ$3:$AJ$42,9),'Product Tracker'!$AJ$3:$AJ$42,0)),""),"")</f>
        <v/>
      </c>
      <c r="D22" s="26">
        <f>IF(LARGE('Product Tracker'!$AJ$3:$AJ$42,9)&gt;-9000,IFERROR(INDEX('Product Tracker'!$AC$3:$AC$42,MATCH(LARGE('Product Tracker'!$AJ$3:$AJ$42,9),'Product Tracker'!$AJ$3:$AJ$42,0)),""),"")</f>
        <v/>
      </c>
      <c r="E22" s="24">
        <f>IF(LARGE('Product Tracker'!$AJ$3:$AJ$42,9)&gt;-9000,IFERROR(INDEX('Product Tracker'!$AD$3:$AD$42,MATCH(LARGE('Product Tracker'!$AJ$3:$AJ$42,9),'Product Tracker'!$AJ$3:$AJ$42,0)),""),"")</f>
        <v/>
      </c>
      <c r="F22" s="27">
        <f>IF(LARGE('Product Tracker'!$AJ$3:$AJ$42,9)&gt;-9000,IFERROR(INDEX('Product Tracker'!$P$3:$P$42,MATCH(LARGE('Product Tracker'!$AJ$3:$AJ$42,9),'Product Tracker'!$AJ$3:$AJ$42,0)),""),"")</f>
        <v/>
      </c>
    </row>
    <row r="23">
      <c r="A23" s="24" t="n">
        <v>10</v>
      </c>
      <c r="B23" s="25">
        <f>IF(LARGE('Product Tracker'!$AJ$3:$AJ$42,10)&gt;-9000,IFERROR(INDEX('Product Tracker'!$C$3:$C$42,MATCH(LARGE('Product Tracker'!$AJ$3:$AJ$42,10),'Product Tracker'!$AJ$3:$AJ$42,0)),""),"")</f>
        <v/>
      </c>
      <c r="C23" s="25">
        <f>IF(LARGE('Product Tracker'!$AJ$3:$AJ$42,10)&gt;-9000,IFERROR(INDEX('Product Tracker'!$A$3:$A$42,MATCH(LARGE('Product Tracker'!$AJ$3:$AJ$42,10),'Product Tracker'!$AJ$3:$AJ$42,0)),""),"")</f>
        <v/>
      </c>
      <c r="D23" s="26">
        <f>IF(LARGE('Product Tracker'!$AJ$3:$AJ$42,10)&gt;-9000,IFERROR(INDEX('Product Tracker'!$AC$3:$AC$42,MATCH(LARGE('Product Tracker'!$AJ$3:$AJ$42,10),'Product Tracker'!$AJ$3:$AJ$42,0)),""),"")</f>
        <v/>
      </c>
      <c r="E23" s="24">
        <f>IF(LARGE('Product Tracker'!$AJ$3:$AJ$42,10)&gt;-9000,IFERROR(INDEX('Product Tracker'!$AD$3:$AD$42,MATCH(LARGE('Product Tracker'!$AJ$3:$AJ$42,10),'Product Tracker'!$AJ$3:$AJ$42,0)),""),"")</f>
        <v/>
      </c>
      <c r="F23" s="27">
        <f>IF(LARGE('Product Tracker'!$AJ$3:$AJ$42,10)&gt;-9000,IFERROR(INDEX('Product Tracker'!$P$3:$P$42,MATCH(LARGE('Product Tracker'!$AJ$3:$AJ$42,10),'Product Tracker'!$AJ$3:$AJ$42,0)),""),"")</f>
        <v/>
      </c>
    </row>
    <row r="24">
      <c r="A24" s="20" t="inlineStr">
        <is>
          <t>Best Products Under BDT 700</t>
        </is>
      </c>
    </row>
    <row r="25">
      <c r="A25" s="23" t="inlineStr">
        <is>
          <t>Rank</t>
        </is>
      </c>
      <c r="B25" s="23" t="inlineStr">
        <is>
          <t>Product Name</t>
        </is>
      </c>
      <c r="C25" s="23" t="inlineStr">
        <is>
          <t>SKU</t>
        </is>
      </c>
      <c r="D25" s="23" t="inlineStr">
        <is>
          <t>Score</t>
        </is>
      </c>
      <c r="E25" s="23" t="inlineStr">
        <is>
          <t>Decision</t>
        </is>
      </c>
      <c r="F25" s="23" t="inlineStr">
        <is>
          <t>Suggested Price</t>
        </is>
      </c>
    </row>
    <row r="26">
      <c r="A26" s="24" t="n">
        <v>1</v>
      </c>
      <c r="B26" s="25">
        <f>IF(LARGE('Product Tracker'!$AK$3:$AK$42,1)&gt;-9000,IFERROR(INDEX('Product Tracker'!$C$3:$C$42,MATCH(LARGE('Product Tracker'!$AK$3:$AK$42,1),'Product Tracker'!$AK$3:$AK$42,0)),""),"")</f>
        <v/>
      </c>
      <c r="C26" s="25">
        <f>IF(LARGE('Product Tracker'!$AK$3:$AK$42,1)&gt;-9000,IFERROR(INDEX('Product Tracker'!$A$3:$A$42,MATCH(LARGE('Product Tracker'!$AK$3:$AK$42,1),'Product Tracker'!$AK$3:$AK$42,0)),""),"")</f>
        <v/>
      </c>
      <c r="D26" s="26">
        <f>IF(LARGE('Product Tracker'!$AK$3:$AK$42,1)&gt;-9000,IFERROR(INDEX('Product Tracker'!$AC$3:$AC$42,MATCH(LARGE('Product Tracker'!$AK$3:$AK$42,1),'Product Tracker'!$AK$3:$AK$42,0)),""),"")</f>
        <v/>
      </c>
      <c r="E26" s="24">
        <f>IF(LARGE('Product Tracker'!$AK$3:$AK$42,1)&gt;-9000,IFERROR(INDEX('Product Tracker'!$AD$3:$AD$42,MATCH(LARGE('Product Tracker'!$AK$3:$AK$42,1),'Product Tracker'!$AK$3:$AK$42,0)),""),"")</f>
        <v/>
      </c>
      <c r="F26" s="27">
        <f>IF(LARGE('Product Tracker'!$AK$3:$AK$42,1)&gt;-9000,IFERROR(INDEX('Product Tracker'!$P$3:$P$42,MATCH(LARGE('Product Tracker'!$AK$3:$AK$42,1),'Product Tracker'!$AK$3:$AK$42,0)),""),"")</f>
        <v/>
      </c>
    </row>
    <row r="27">
      <c r="A27" s="24" t="n">
        <v>2</v>
      </c>
      <c r="B27" s="25">
        <f>IF(LARGE('Product Tracker'!$AK$3:$AK$42,2)&gt;-9000,IFERROR(INDEX('Product Tracker'!$C$3:$C$42,MATCH(LARGE('Product Tracker'!$AK$3:$AK$42,2),'Product Tracker'!$AK$3:$AK$42,0)),""),"")</f>
        <v/>
      </c>
      <c r="C27" s="25">
        <f>IF(LARGE('Product Tracker'!$AK$3:$AK$42,2)&gt;-9000,IFERROR(INDEX('Product Tracker'!$A$3:$A$42,MATCH(LARGE('Product Tracker'!$AK$3:$AK$42,2),'Product Tracker'!$AK$3:$AK$42,0)),""),"")</f>
        <v/>
      </c>
      <c r="D27" s="26">
        <f>IF(LARGE('Product Tracker'!$AK$3:$AK$42,2)&gt;-9000,IFERROR(INDEX('Product Tracker'!$AC$3:$AC$42,MATCH(LARGE('Product Tracker'!$AK$3:$AK$42,2),'Product Tracker'!$AK$3:$AK$42,0)),""),"")</f>
        <v/>
      </c>
      <c r="E27" s="24">
        <f>IF(LARGE('Product Tracker'!$AK$3:$AK$42,2)&gt;-9000,IFERROR(INDEX('Product Tracker'!$AD$3:$AD$42,MATCH(LARGE('Product Tracker'!$AK$3:$AK$42,2),'Product Tracker'!$AK$3:$AK$42,0)),""),"")</f>
        <v/>
      </c>
      <c r="F27" s="27">
        <f>IF(LARGE('Product Tracker'!$AK$3:$AK$42,2)&gt;-9000,IFERROR(INDEX('Product Tracker'!$P$3:$P$42,MATCH(LARGE('Product Tracker'!$AK$3:$AK$42,2),'Product Tracker'!$AK$3:$AK$42,0)),""),"")</f>
        <v/>
      </c>
    </row>
    <row r="28">
      <c r="A28" s="24" t="n">
        <v>3</v>
      </c>
      <c r="B28" s="25">
        <f>IF(LARGE('Product Tracker'!$AK$3:$AK$42,3)&gt;-9000,IFERROR(INDEX('Product Tracker'!$C$3:$C$42,MATCH(LARGE('Product Tracker'!$AK$3:$AK$42,3),'Product Tracker'!$AK$3:$AK$42,0)),""),"")</f>
        <v/>
      </c>
      <c r="C28" s="25">
        <f>IF(LARGE('Product Tracker'!$AK$3:$AK$42,3)&gt;-9000,IFERROR(INDEX('Product Tracker'!$A$3:$A$42,MATCH(LARGE('Product Tracker'!$AK$3:$AK$42,3),'Product Tracker'!$AK$3:$AK$42,0)),""),"")</f>
        <v/>
      </c>
      <c r="D28" s="26">
        <f>IF(LARGE('Product Tracker'!$AK$3:$AK$42,3)&gt;-9000,IFERROR(INDEX('Product Tracker'!$AC$3:$AC$42,MATCH(LARGE('Product Tracker'!$AK$3:$AK$42,3),'Product Tracker'!$AK$3:$AK$42,0)),""),"")</f>
        <v/>
      </c>
      <c r="E28" s="24">
        <f>IF(LARGE('Product Tracker'!$AK$3:$AK$42,3)&gt;-9000,IFERROR(INDEX('Product Tracker'!$AD$3:$AD$42,MATCH(LARGE('Product Tracker'!$AK$3:$AK$42,3),'Product Tracker'!$AK$3:$AK$42,0)),""),"")</f>
        <v/>
      </c>
      <c r="F28" s="27">
        <f>IF(LARGE('Product Tracker'!$AK$3:$AK$42,3)&gt;-9000,IFERROR(INDEX('Product Tracker'!$P$3:$P$42,MATCH(LARGE('Product Tracker'!$AK$3:$AK$42,3),'Product Tracker'!$AK$3:$AK$42,0)),""),"")</f>
        <v/>
      </c>
    </row>
    <row r="29">
      <c r="A29" s="24" t="n">
        <v>4</v>
      </c>
      <c r="B29" s="25">
        <f>IF(LARGE('Product Tracker'!$AK$3:$AK$42,4)&gt;-9000,IFERROR(INDEX('Product Tracker'!$C$3:$C$42,MATCH(LARGE('Product Tracker'!$AK$3:$AK$42,4),'Product Tracker'!$AK$3:$AK$42,0)),""),"")</f>
        <v/>
      </c>
      <c r="C29" s="25">
        <f>IF(LARGE('Product Tracker'!$AK$3:$AK$42,4)&gt;-9000,IFERROR(INDEX('Product Tracker'!$A$3:$A$42,MATCH(LARGE('Product Tracker'!$AK$3:$AK$42,4),'Product Tracker'!$AK$3:$AK$42,0)),""),"")</f>
        <v/>
      </c>
      <c r="D29" s="26">
        <f>IF(LARGE('Product Tracker'!$AK$3:$AK$42,4)&gt;-9000,IFERROR(INDEX('Product Tracker'!$AC$3:$AC$42,MATCH(LARGE('Product Tracker'!$AK$3:$AK$42,4),'Product Tracker'!$AK$3:$AK$42,0)),""),"")</f>
        <v/>
      </c>
      <c r="E29" s="24">
        <f>IF(LARGE('Product Tracker'!$AK$3:$AK$42,4)&gt;-9000,IFERROR(INDEX('Product Tracker'!$AD$3:$AD$42,MATCH(LARGE('Product Tracker'!$AK$3:$AK$42,4),'Product Tracker'!$AK$3:$AK$42,0)),""),"")</f>
        <v/>
      </c>
      <c r="F29" s="27">
        <f>IF(LARGE('Product Tracker'!$AK$3:$AK$42,4)&gt;-9000,IFERROR(INDEX('Product Tracker'!$P$3:$P$42,MATCH(LARGE('Product Tracker'!$AK$3:$AK$42,4),'Product Tracker'!$AK$3:$AK$42,0)),""),"")</f>
        <v/>
      </c>
    </row>
    <row r="30">
      <c r="A30" s="24" t="n">
        <v>5</v>
      </c>
      <c r="B30" s="25">
        <f>IF(LARGE('Product Tracker'!$AK$3:$AK$42,5)&gt;-9000,IFERROR(INDEX('Product Tracker'!$C$3:$C$42,MATCH(LARGE('Product Tracker'!$AK$3:$AK$42,5),'Product Tracker'!$AK$3:$AK$42,0)),""),"")</f>
        <v/>
      </c>
      <c r="C30" s="25">
        <f>IF(LARGE('Product Tracker'!$AK$3:$AK$42,5)&gt;-9000,IFERROR(INDEX('Product Tracker'!$A$3:$A$42,MATCH(LARGE('Product Tracker'!$AK$3:$AK$42,5),'Product Tracker'!$AK$3:$AK$42,0)),""),"")</f>
        <v/>
      </c>
      <c r="D30" s="26">
        <f>IF(LARGE('Product Tracker'!$AK$3:$AK$42,5)&gt;-9000,IFERROR(INDEX('Product Tracker'!$AC$3:$AC$42,MATCH(LARGE('Product Tracker'!$AK$3:$AK$42,5),'Product Tracker'!$AK$3:$AK$42,0)),""),"")</f>
        <v/>
      </c>
      <c r="E30" s="24">
        <f>IF(LARGE('Product Tracker'!$AK$3:$AK$42,5)&gt;-9000,IFERROR(INDEX('Product Tracker'!$AD$3:$AD$42,MATCH(LARGE('Product Tracker'!$AK$3:$AK$42,5),'Product Tracker'!$AK$3:$AK$42,0)),""),"")</f>
        <v/>
      </c>
      <c r="F30" s="27">
        <f>IF(LARGE('Product Tracker'!$AK$3:$AK$42,5)&gt;-9000,IFERROR(INDEX('Product Tracker'!$P$3:$P$42,MATCH(LARGE('Product Tracker'!$AK$3:$AK$42,5),'Product Tracker'!$AK$3:$AK$42,0)),""),"")</f>
        <v/>
      </c>
    </row>
    <row r="31">
      <c r="A31" s="20" t="inlineStr">
        <is>
          <t>Best Products for Reels/Photos</t>
        </is>
      </c>
    </row>
    <row r="32">
      <c r="A32" s="23" t="inlineStr">
        <is>
          <t>Rank</t>
        </is>
      </c>
      <c r="B32" s="23" t="inlineStr">
        <is>
          <t>Product Name</t>
        </is>
      </c>
      <c r="C32" s="23" t="inlineStr">
        <is>
          <t>SKU</t>
        </is>
      </c>
      <c r="D32" s="23" t="inlineStr">
        <is>
          <t>Score</t>
        </is>
      </c>
      <c r="E32" s="23" t="inlineStr">
        <is>
          <t>Decision</t>
        </is>
      </c>
      <c r="F32" s="23" t="inlineStr">
        <is>
          <t>Suggested Price</t>
        </is>
      </c>
    </row>
    <row r="33">
      <c r="A33" s="24" t="n">
        <v>1</v>
      </c>
      <c r="B33" s="25">
        <f>IF(LARGE('Product Tracker'!$AL$3:$AL$42,1)&gt;-9000,IFERROR(INDEX('Product Tracker'!$C$3:$C$42,MATCH(LARGE('Product Tracker'!$AL$3:$AL$42,1),'Product Tracker'!$AL$3:$AL$42,0)),""),"")</f>
        <v/>
      </c>
      <c r="C33" s="25">
        <f>IF(LARGE('Product Tracker'!$AL$3:$AL$42,1)&gt;-9000,IFERROR(INDEX('Product Tracker'!$A$3:$A$42,MATCH(LARGE('Product Tracker'!$AL$3:$AL$42,1),'Product Tracker'!$AL$3:$AL$42,0)),""),"")</f>
        <v/>
      </c>
      <c r="D33" s="26">
        <f>IF(LARGE('Product Tracker'!$AL$3:$AL$42,1)&gt;-9000,IFERROR(INDEX('Product Tracker'!$AC$3:$AC$42,MATCH(LARGE('Product Tracker'!$AL$3:$AL$42,1),'Product Tracker'!$AL$3:$AL$42,0)),""),"")</f>
        <v/>
      </c>
      <c r="E33" s="24">
        <f>IF(LARGE('Product Tracker'!$AL$3:$AL$42,1)&gt;-9000,IFERROR(INDEX('Product Tracker'!$AD$3:$AD$42,MATCH(LARGE('Product Tracker'!$AL$3:$AL$42,1),'Product Tracker'!$AL$3:$AL$42,0)),""),"")</f>
        <v/>
      </c>
      <c r="F33" s="27">
        <f>IF(LARGE('Product Tracker'!$AL$3:$AL$42,1)&gt;-9000,IFERROR(INDEX('Product Tracker'!$P$3:$P$42,MATCH(LARGE('Product Tracker'!$AL$3:$AL$42,1),'Product Tracker'!$AL$3:$AL$42,0)),""),"")</f>
        <v/>
      </c>
    </row>
    <row r="34">
      <c r="A34" s="24" t="n">
        <v>2</v>
      </c>
      <c r="B34" s="25">
        <f>IF(LARGE('Product Tracker'!$AL$3:$AL$42,2)&gt;-9000,IFERROR(INDEX('Product Tracker'!$C$3:$C$42,MATCH(LARGE('Product Tracker'!$AL$3:$AL$42,2),'Product Tracker'!$AL$3:$AL$42,0)),""),"")</f>
        <v/>
      </c>
      <c r="C34" s="25">
        <f>IF(LARGE('Product Tracker'!$AL$3:$AL$42,2)&gt;-9000,IFERROR(INDEX('Product Tracker'!$A$3:$A$42,MATCH(LARGE('Product Tracker'!$AL$3:$AL$42,2),'Product Tracker'!$AL$3:$AL$42,0)),""),"")</f>
        <v/>
      </c>
      <c r="D34" s="26">
        <f>IF(LARGE('Product Tracker'!$AL$3:$AL$42,2)&gt;-9000,IFERROR(INDEX('Product Tracker'!$AC$3:$AC$42,MATCH(LARGE('Product Tracker'!$AL$3:$AL$42,2),'Product Tracker'!$AL$3:$AL$42,0)),""),"")</f>
        <v/>
      </c>
      <c r="E34" s="24">
        <f>IF(LARGE('Product Tracker'!$AL$3:$AL$42,2)&gt;-9000,IFERROR(INDEX('Product Tracker'!$AD$3:$AD$42,MATCH(LARGE('Product Tracker'!$AL$3:$AL$42,2),'Product Tracker'!$AL$3:$AL$42,0)),""),"")</f>
        <v/>
      </c>
      <c r="F34" s="27">
        <f>IF(LARGE('Product Tracker'!$AL$3:$AL$42,2)&gt;-9000,IFERROR(INDEX('Product Tracker'!$P$3:$P$42,MATCH(LARGE('Product Tracker'!$AL$3:$AL$42,2),'Product Tracker'!$AL$3:$AL$42,0)),""),"")</f>
        <v/>
      </c>
    </row>
    <row r="35">
      <c r="A35" s="24" t="n">
        <v>3</v>
      </c>
      <c r="B35" s="25">
        <f>IF(LARGE('Product Tracker'!$AL$3:$AL$42,3)&gt;-9000,IFERROR(INDEX('Product Tracker'!$C$3:$C$42,MATCH(LARGE('Product Tracker'!$AL$3:$AL$42,3),'Product Tracker'!$AL$3:$AL$42,0)),""),"")</f>
        <v/>
      </c>
      <c r="C35" s="25">
        <f>IF(LARGE('Product Tracker'!$AL$3:$AL$42,3)&gt;-9000,IFERROR(INDEX('Product Tracker'!$A$3:$A$42,MATCH(LARGE('Product Tracker'!$AL$3:$AL$42,3),'Product Tracker'!$AL$3:$AL$42,0)),""),"")</f>
        <v/>
      </c>
      <c r="D35" s="26">
        <f>IF(LARGE('Product Tracker'!$AL$3:$AL$42,3)&gt;-9000,IFERROR(INDEX('Product Tracker'!$AC$3:$AC$42,MATCH(LARGE('Product Tracker'!$AL$3:$AL$42,3),'Product Tracker'!$AL$3:$AL$42,0)),""),"")</f>
        <v/>
      </c>
      <c r="E35" s="24">
        <f>IF(LARGE('Product Tracker'!$AL$3:$AL$42,3)&gt;-9000,IFERROR(INDEX('Product Tracker'!$AD$3:$AD$42,MATCH(LARGE('Product Tracker'!$AL$3:$AL$42,3),'Product Tracker'!$AL$3:$AL$42,0)),""),"")</f>
        <v/>
      </c>
      <c r="F35" s="27">
        <f>IF(LARGE('Product Tracker'!$AL$3:$AL$42,3)&gt;-9000,IFERROR(INDEX('Product Tracker'!$P$3:$P$42,MATCH(LARGE('Product Tracker'!$AL$3:$AL$42,3),'Product Tracker'!$AL$3:$AL$42,0)),""),"")</f>
        <v/>
      </c>
    </row>
    <row r="36">
      <c r="A36" s="24" t="n">
        <v>4</v>
      </c>
      <c r="B36" s="25">
        <f>IF(LARGE('Product Tracker'!$AL$3:$AL$42,4)&gt;-9000,IFERROR(INDEX('Product Tracker'!$C$3:$C$42,MATCH(LARGE('Product Tracker'!$AL$3:$AL$42,4),'Product Tracker'!$AL$3:$AL$42,0)),""),"")</f>
        <v/>
      </c>
      <c r="C36" s="25">
        <f>IF(LARGE('Product Tracker'!$AL$3:$AL$42,4)&gt;-9000,IFERROR(INDEX('Product Tracker'!$A$3:$A$42,MATCH(LARGE('Product Tracker'!$AL$3:$AL$42,4),'Product Tracker'!$AL$3:$AL$42,0)),""),"")</f>
        <v/>
      </c>
      <c r="D36" s="26">
        <f>IF(LARGE('Product Tracker'!$AL$3:$AL$42,4)&gt;-9000,IFERROR(INDEX('Product Tracker'!$AC$3:$AC$42,MATCH(LARGE('Product Tracker'!$AL$3:$AL$42,4),'Product Tracker'!$AL$3:$AL$42,0)),""),"")</f>
        <v/>
      </c>
      <c r="E36" s="24">
        <f>IF(LARGE('Product Tracker'!$AL$3:$AL$42,4)&gt;-9000,IFERROR(INDEX('Product Tracker'!$AD$3:$AD$42,MATCH(LARGE('Product Tracker'!$AL$3:$AL$42,4),'Product Tracker'!$AL$3:$AL$42,0)),""),"")</f>
        <v/>
      </c>
      <c r="F36" s="27">
        <f>IF(LARGE('Product Tracker'!$AL$3:$AL$42,4)&gt;-9000,IFERROR(INDEX('Product Tracker'!$P$3:$P$42,MATCH(LARGE('Product Tracker'!$AL$3:$AL$42,4),'Product Tracker'!$AL$3:$AL$42,0)),""),"")</f>
        <v/>
      </c>
    </row>
    <row r="37">
      <c r="A37" s="24" t="n">
        <v>5</v>
      </c>
      <c r="B37" s="25">
        <f>IF(LARGE('Product Tracker'!$AL$3:$AL$42,5)&gt;-9000,IFERROR(INDEX('Product Tracker'!$C$3:$C$42,MATCH(LARGE('Product Tracker'!$AL$3:$AL$42,5),'Product Tracker'!$AL$3:$AL$42,0)),""),"")</f>
        <v/>
      </c>
      <c r="C37" s="25">
        <f>IF(LARGE('Product Tracker'!$AL$3:$AL$42,5)&gt;-9000,IFERROR(INDEX('Product Tracker'!$A$3:$A$42,MATCH(LARGE('Product Tracker'!$AL$3:$AL$42,5),'Product Tracker'!$AL$3:$AL$42,0)),""),"")</f>
        <v/>
      </c>
      <c r="D37" s="26">
        <f>IF(LARGE('Product Tracker'!$AL$3:$AL$42,5)&gt;-9000,IFERROR(INDEX('Product Tracker'!$AC$3:$AC$42,MATCH(LARGE('Product Tracker'!$AL$3:$AL$42,5),'Product Tracker'!$AL$3:$AL$42,0)),""),"")</f>
        <v/>
      </c>
      <c r="E37" s="24">
        <f>IF(LARGE('Product Tracker'!$AL$3:$AL$42,5)&gt;-9000,IFERROR(INDEX('Product Tracker'!$AD$3:$AD$42,MATCH(LARGE('Product Tracker'!$AL$3:$AL$42,5),'Product Tracker'!$AL$3:$AL$42,0)),""),"")</f>
        <v/>
      </c>
      <c r="F37" s="27">
        <f>IF(LARGE('Product Tracker'!$AL$3:$AL$42,5)&gt;-9000,IFERROR(INDEX('Product Tracker'!$P$3:$P$42,MATCH(LARGE('Product Tracker'!$AL$3:$AL$42,5),'Product Tracker'!$AL$3:$AL$42,0)),""),"")</f>
        <v/>
      </c>
    </row>
    <row r="38">
      <c r="A38" s="20" t="inlineStr">
        <is>
          <t>Best Giftable Products</t>
        </is>
      </c>
    </row>
    <row r="39">
      <c r="A39" s="23" t="inlineStr">
        <is>
          <t>Rank</t>
        </is>
      </c>
      <c r="B39" s="23" t="inlineStr">
        <is>
          <t>Product Name</t>
        </is>
      </c>
      <c r="C39" s="23" t="inlineStr">
        <is>
          <t>SKU</t>
        </is>
      </c>
      <c r="D39" s="23" t="inlineStr">
        <is>
          <t>Score</t>
        </is>
      </c>
      <c r="E39" s="23" t="inlineStr">
        <is>
          <t>Decision</t>
        </is>
      </c>
      <c r="F39" s="23" t="inlineStr">
        <is>
          <t>Suggested Price</t>
        </is>
      </c>
    </row>
    <row r="40">
      <c r="A40" s="24" t="n">
        <v>1</v>
      </c>
      <c r="B40" s="25">
        <f>IF(LARGE('Product Tracker'!$AM$3:$AM$42,1)&gt;-9000,IFERROR(INDEX('Product Tracker'!$C$3:$C$42,MATCH(LARGE('Product Tracker'!$AM$3:$AM$42,1),'Product Tracker'!$AM$3:$AM$42,0)),""),"")</f>
        <v/>
      </c>
      <c r="C40" s="25">
        <f>IF(LARGE('Product Tracker'!$AM$3:$AM$42,1)&gt;-9000,IFERROR(INDEX('Product Tracker'!$A$3:$A$42,MATCH(LARGE('Product Tracker'!$AM$3:$AM$42,1),'Product Tracker'!$AM$3:$AM$42,0)),""),"")</f>
        <v/>
      </c>
      <c r="D40" s="26">
        <f>IF(LARGE('Product Tracker'!$AM$3:$AM$42,1)&gt;-9000,IFERROR(INDEX('Product Tracker'!$AC$3:$AC$42,MATCH(LARGE('Product Tracker'!$AM$3:$AM$42,1),'Product Tracker'!$AM$3:$AM$42,0)),""),"")</f>
        <v/>
      </c>
      <c r="E40" s="24">
        <f>IF(LARGE('Product Tracker'!$AM$3:$AM$42,1)&gt;-9000,IFERROR(INDEX('Product Tracker'!$AD$3:$AD$42,MATCH(LARGE('Product Tracker'!$AM$3:$AM$42,1),'Product Tracker'!$AM$3:$AM$42,0)),""),"")</f>
        <v/>
      </c>
      <c r="F40" s="27">
        <f>IF(LARGE('Product Tracker'!$AM$3:$AM$42,1)&gt;-9000,IFERROR(INDEX('Product Tracker'!$P$3:$P$42,MATCH(LARGE('Product Tracker'!$AM$3:$AM$42,1),'Product Tracker'!$AM$3:$AM$42,0)),""),"")</f>
        <v/>
      </c>
    </row>
    <row r="41">
      <c r="A41" s="24" t="n">
        <v>2</v>
      </c>
      <c r="B41" s="25">
        <f>IF(LARGE('Product Tracker'!$AM$3:$AM$42,2)&gt;-9000,IFERROR(INDEX('Product Tracker'!$C$3:$C$42,MATCH(LARGE('Product Tracker'!$AM$3:$AM$42,2),'Product Tracker'!$AM$3:$AM$42,0)),""),"")</f>
        <v/>
      </c>
      <c r="C41" s="25">
        <f>IF(LARGE('Product Tracker'!$AM$3:$AM$42,2)&gt;-9000,IFERROR(INDEX('Product Tracker'!$A$3:$A$42,MATCH(LARGE('Product Tracker'!$AM$3:$AM$42,2),'Product Tracker'!$AM$3:$AM$42,0)),""),"")</f>
        <v/>
      </c>
      <c r="D41" s="26">
        <f>IF(LARGE('Product Tracker'!$AM$3:$AM$42,2)&gt;-9000,IFERROR(INDEX('Product Tracker'!$AC$3:$AC$42,MATCH(LARGE('Product Tracker'!$AM$3:$AM$42,2),'Product Tracker'!$AM$3:$AM$42,0)),""),"")</f>
        <v/>
      </c>
      <c r="E41" s="24">
        <f>IF(LARGE('Product Tracker'!$AM$3:$AM$42,2)&gt;-9000,IFERROR(INDEX('Product Tracker'!$AD$3:$AD$42,MATCH(LARGE('Product Tracker'!$AM$3:$AM$42,2),'Product Tracker'!$AM$3:$AM$42,0)),""),"")</f>
        <v/>
      </c>
      <c r="F41" s="27">
        <f>IF(LARGE('Product Tracker'!$AM$3:$AM$42,2)&gt;-9000,IFERROR(INDEX('Product Tracker'!$P$3:$P$42,MATCH(LARGE('Product Tracker'!$AM$3:$AM$42,2),'Product Tracker'!$AM$3:$AM$42,0)),""),"")</f>
        <v/>
      </c>
    </row>
    <row r="42">
      <c r="A42" s="24" t="n">
        <v>3</v>
      </c>
      <c r="B42" s="25">
        <f>IF(LARGE('Product Tracker'!$AM$3:$AM$42,3)&gt;-9000,IFERROR(INDEX('Product Tracker'!$C$3:$C$42,MATCH(LARGE('Product Tracker'!$AM$3:$AM$42,3),'Product Tracker'!$AM$3:$AM$42,0)),""),"")</f>
        <v/>
      </c>
      <c r="C42" s="25">
        <f>IF(LARGE('Product Tracker'!$AM$3:$AM$42,3)&gt;-9000,IFERROR(INDEX('Product Tracker'!$A$3:$A$42,MATCH(LARGE('Product Tracker'!$AM$3:$AM$42,3),'Product Tracker'!$AM$3:$AM$42,0)),""),"")</f>
        <v/>
      </c>
      <c r="D42" s="26">
        <f>IF(LARGE('Product Tracker'!$AM$3:$AM$42,3)&gt;-9000,IFERROR(INDEX('Product Tracker'!$AC$3:$AC$42,MATCH(LARGE('Product Tracker'!$AM$3:$AM$42,3),'Product Tracker'!$AM$3:$AM$42,0)),""),"")</f>
        <v/>
      </c>
      <c r="E42" s="24">
        <f>IF(LARGE('Product Tracker'!$AM$3:$AM$42,3)&gt;-9000,IFERROR(INDEX('Product Tracker'!$AD$3:$AD$42,MATCH(LARGE('Product Tracker'!$AM$3:$AM$42,3),'Product Tracker'!$AM$3:$AM$42,0)),""),"")</f>
        <v/>
      </c>
      <c r="F42" s="27">
        <f>IF(LARGE('Product Tracker'!$AM$3:$AM$42,3)&gt;-9000,IFERROR(INDEX('Product Tracker'!$P$3:$P$42,MATCH(LARGE('Product Tracker'!$AM$3:$AM$42,3),'Product Tracker'!$AM$3:$AM$42,0)),""),"")</f>
        <v/>
      </c>
    </row>
    <row r="43">
      <c r="A43" s="24" t="n">
        <v>4</v>
      </c>
      <c r="B43" s="25">
        <f>IF(LARGE('Product Tracker'!$AM$3:$AM$42,4)&gt;-9000,IFERROR(INDEX('Product Tracker'!$C$3:$C$42,MATCH(LARGE('Product Tracker'!$AM$3:$AM$42,4),'Product Tracker'!$AM$3:$AM$42,0)),""),"")</f>
        <v/>
      </c>
      <c r="C43" s="25">
        <f>IF(LARGE('Product Tracker'!$AM$3:$AM$42,4)&gt;-9000,IFERROR(INDEX('Product Tracker'!$A$3:$A$42,MATCH(LARGE('Product Tracker'!$AM$3:$AM$42,4),'Product Tracker'!$AM$3:$AM$42,0)),""),"")</f>
        <v/>
      </c>
      <c r="D43" s="26">
        <f>IF(LARGE('Product Tracker'!$AM$3:$AM$42,4)&gt;-9000,IFERROR(INDEX('Product Tracker'!$AC$3:$AC$42,MATCH(LARGE('Product Tracker'!$AM$3:$AM$42,4),'Product Tracker'!$AM$3:$AM$42,0)),""),"")</f>
        <v/>
      </c>
      <c r="E43" s="24">
        <f>IF(LARGE('Product Tracker'!$AM$3:$AM$42,4)&gt;-9000,IFERROR(INDEX('Product Tracker'!$AD$3:$AD$42,MATCH(LARGE('Product Tracker'!$AM$3:$AM$42,4),'Product Tracker'!$AM$3:$AM$42,0)),""),"")</f>
        <v/>
      </c>
      <c r="F43" s="27">
        <f>IF(LARGE('Product Tracker'!$AM$3:$AM$42,4)&gt;-9000,IFERROR(INDEX('Product Tracker'!$P$3:$P$42,MATCH(LARGE('Product Tracker'!$AM$3:$AM$42,4),'Product Tracker'!$AM$3:$AM$42,0)),""),"")</f>
        <v/>
      </c>
    </row>
    <row r="44">
      <c r="A44" s="24" t="n">
        <v>5</v>
      </c>
      <c r="B44" s="25">
        <f>IF(LARGE('Product Tracker'!$AM$3:$AM$42,5)&gt;-9000,IFERROR(INDEX('Product Tracker'!$C$3:$C$42,MATCH(LARGE('Product Tracker'!$AM$3:$AM$42,5),'Product Tracker'!$AM$3:$AM$42,0)),""),"")</f>
        <v/>
      </c>
      <c r="C44" s="25">
        <f>IF(LARGE('Product Tracker'!$AM$3:$AM$42,5)&gt;-9000,IFERROR(INDEX('Product Tracker'!$A$3:$A$42,MATCH(LARGE('Product Tracker'!$AM$3:$AM$42,5),'Product Tracker'!$AM$3:$AM$42,0)),""),"")</f>
        <v/>
      </c>
      <c r="D44" s="26">
        <f>IF(LARGE('Product Tracker'!$AM$3:$AM$42,5)&gt;-9000,IFERROR(INDEX('Product Tracker'!$AC$3:$AC$42,MATCH(LARGE('Product Tracker'!$AM$3:$AM$42,5),'Product Tracker'!$AM$3:$AM$42,0)),""),"")</f>
        <v/>
      </c>
      <c r="E44" s="24">
        <f>IF(LARGE('Product Tracker'!$AM$3:$AM$42,5)&gt;-9000,IFERROR(INDEX('Product Tracker'!$AD$3:$AD$42,MATCH(LARGE('Product Tracker'!$AM$3:$AM$42,5),'Product Tracker'!$AM$3:$AM$42,0)),""),"")</f>
        <v/>
      </c>
      <c r="F44" s="27">
        <f>IF(LARGE('Product Tracker'!$AM$3:$AM$42,5)&gt;-9000,IFERROR(INDEX('Product Tracker'!$P$3:$P$42,MATCH(LARGE('Product Tracker'!$AM$3:$AM$42,5),'Product Tracker'!$AM$3:$AM$42,0)),""),"")</f>
        <v/>
      </c>
    </row>
    <row r="45">
      <c r="A45" s="20" t="inlineStr">
        <is>
          <t>Products Needing Partner Review (Maybe / Price Review, not yet decided)</t>
        </is>
      </c>
    </row>
    <row r="46">
      <c r="A46" s="23" t="inlineStr">
        <is>
          <t>Rank</t>
        </is>
      </c>
      <c r="B46" s="23" t="inlineStr">
        <is>
          <t>Product Name</t>
        </is>
      </c>
      <c r="C46" s="23" t="inlineStr">
        <is>
          <t>SKU</t>
        </is>
      </c>
      <c r="D46" s="23" t="inlineStr">
        <is>
          <t>Score</t>
        </is>
      </c>
      <c r="E46" s="23" t="inlineStr">
        <is>
          <t>Decision</t>
        </is>
      </c>
      <c r="F46" s="23" t="inlineStr">
        <is>
          <t>Suggested Price</t>
        </is>
      </c>
    </row>
    <row r="47">
      <c r="A47" s="24" t="n">
        <v>1</v>
      </c>
      <c r="B47" s="25">
        <f>IF(LARGE('Product Tracker'!$AN$3:$AN$42,1)&gt;-9000,IFERROR(INDEX('Product Tracker'!$C$3:$C$42,MATCH(LARGE('Product Tracker'!$AN$3:$AN$42,1),'Product Tracker'!$AN$3:$AN$42,0)),""),"")</f>
        <v/>
      </c>
      <c r="C47" s="25">
        <f>IF(LARGE('Product Tracker'!$AN$3:$AN$42,1)&gt;-9000,IFERROR(INDEX('Product Tracker'!$A$3:$A$42,MATCH(LARGE('Product Tracker'!$AN$3:$AN$42,1),'Product Tracker'!$AN$3:$AN$42,0)),""),"")</f>
        <v/>
      </c>
      <c r="D47" s="26">
        <f>IF(LARGE('Product Tracker'!$AN$3:$AN$42,1)&gt;-9000,IFERROR(INDEX('Product Tracker'!$AC$3:$AC$42,MATCH(LARGE('Product Tracker'!$AN$3:$AN$42,1),'Product Tracker'!$AN$3:$AN$42,0)),""),"")</f>
        <v/>
      </c>
      <c r="E47" s="24">
        <f>IF(LARGE('Product Tracker'!$AN$3:$AN$42,1)&gt;-9000,IFERROR(INDEX('Product Tracker'!$AD$3:$AD$42,MATCH(LARGE('Product Tracker'!$AN$3:$AN$42,1),'Product Tracker'!$AN$3:$AN$42,0)),""),"")</f>
        <v/>
      </c>
      <c r="F47" s="27">
        <f>IF(LARGE('Product Tracker'!$AN$3:$AN$42,1)&gt;-9000,IFERROR(INDEX('Product Tracker'!$P$3:$P$42,MATCH(LARGE('Product Tracker'!$AN$3:$AN$42,1),'Product Tracker'!$AN$3:$AN$42,0)),""),"")</f>
        <v/>
      </c>
    </row>
    <row r="48">
      <c r="A48" s="24" t="n">
        <v>2</v>
      </c>
      <c r="B48" s="25">
        <f>IF(LARGE('Product Tracker'!$AN$3:$AN$42,2)&gt;-9000,IFERROR(INDEX('Product Tracker'!$C$3:$C$42,MATCH(LARGE('Product Tracker'!$AN$3:$AN$42,2),'Product Tracker'!$AN$3:$AN$42,0)),""),"")</f>
        <v/>
      </c>
      <c r="C48" s="25">
        <f>IF(LARGE('Product Tracker'!$AN$3:$AN$42,2)&gt;-9000,IFERROR(INDEX('Product Tracker'!$A$3:$A$42,MATCH(LARGE('Product Tracker'!$AN$3:$AN$42,2),'Product Tracker'!$AN$3:$AN$42,0)),""),"")</f>
        <v/>
      </c>
      <c r="D48" s="26">
        <f>IF(LARGE('Product Tracker'!$AN$3:$AN$42,2)&gt;-9000,IFERROR(INDEX('Product Tracker'!$AC$3:$AC$42,MATCH(LARGE('Product Tracker'!$AN$3:$AN$42,2),'Product Tracker'!$AN$3:$AN$42,0)),""),"")</f>
        <v/>
      </c>
      <c r="E48" s="24">
        <f>IF(LARGE('Product Tracker'!$AN$3:$AN$42,2)&gt;-9000,IFERROR(INDEX('Product Tracker'!$AD$3:$AD$42,MATCH(LARGE('Product Tracker'!$AN$3:$AN$42,2),'Product Tracker'!$AN$3:$AN$42,0)),""),"")</f>
        <v/>
      </c>
      <c r="F48" s="27">
        <f>IF(LARGE('Product Tracker'!$AN$3:$AN$42,2)&gt;-9000,IFERROR(INDEX('Product Tracker'!$P$3:$P$42,MATCH(LARGE('Product Tracker'!$AN$3:$AN$42,2),'Product Tracker'!$AN$3:$AN$42,0)),""),"")</f>
        <v/>
      </c>
    </row>
    <row r="49">
      <c r="A49" s="24" t="n">
        <v>3</v>
      </c>
      <c r="B49" s="25">
        <f>IF(LARGE('Product Tracker'!$AN$3:$AN$42,3)&gt;-9000,IFERROR(INDEX('Product Tracker'!$C$3:$C$42,MATCH(LARGE('Product Tracker'!$AN$3:$AN$42,3),'Product Tracker'!$AN$3:$AN$42,0)),""),"")</f>
        <v/>
      </c>
      <c r="C49" s="25">
        <f>IF(LARGE('Product Tracker'!$AN$3:$AN$42,3)&gt;-9000,IFERROR(INDEX('Product Tracker'!$A$3:$A$42,MATCH(LARGE('Product Tracker'!$AN$3:$AN$42,3),'Product Tracker'!$AN$3:$AN$42,0)),""),"")</f>
        <v/>
      </c>
      <c r="D49" s="26">
        <f>IF(LARGE('Product Tracker'!$AN$3:$AN$42,3)&gt;-9000,IFERROR(INDEX('Product Tracker'!$AC$3:$AC$42,MATCH(LARGE('Product Tracker'!$AN$3:$AN$42,3),'Product Tracker'!$AN$3:$AN$42,0)),""),"")</f>
        <v/>
      </c>
      <c r="E49" s="24">
        <f>IF(LARGE('Product Tracker'!$AN$3:$AN$42,3)&gt;-9000,IFERROR(INDEX('Product Tracker'!$AD$3:$AD$42,MATCH(LARGE('Product Tracker'!$AN$3:$AN$42,3),'Product Tracker'!$AN$3:$AN$42,0)),""),"")</f>
        <v/>
      </c>
      <c r="F49" s="27">
        <f>IF(LARGE('Product Tracker'!$AN$3:$AN$42,3)&gt;-9000,IFERROR(INDEX('Product Tracker'!$P$3:$P$42,MATCH(LARGE('Product Tracker'!$AN$3:$AN$42,3),'Product Tracker'!$AN$3:$AN$42,0)),""),"")</f>
        <v/>
      </c>
    </row>
    <row r="50">
      <c r="A50" s="24" t="n">
        <v>4</v>
      </c>
      <c r="B50" s="25">
        <f>IF(LARGE('Product Tracker'!$AN$3:$AN$42,4)&gt;-9000,IFERROR(INDEX('Product Tracker'!$C$3:$C$42,MATCH(LARGE('Product Tracker'!$AN$3:$AN$42,4),'Product Tracker'!$AN$3:$AN$42,0)),""),"")</f>
        <v/>
      </c>
      <c r="C50" s="25">
        <f>IF(LARGE('Product Tracker'!$AN$3:$AN$42,4)&gt;-9000,IFERROR(INDEX('Product Tracker'!$A$3:$A$42,MATCH(LARGE('Product Tracker'!$AN$3:$AN$42,4),'Product Tracker'!$AN$3:$AN$42,0)),""),"")</f>
        <v/>
      </c>
      <c r="D50" s="26">
        <f>IF(LARGE('Product Tracker'!$AN$3:$AN$42,4)&gt;-9000,IFERROR(INDEX('Product Tracker'!$AC$3:$AC$42,MATCH(LARGE('Product Tracker'!$AN$3:$AN$42,4),'Product Tracker'!$AN$3:$AN$42,0)),""),"")</f>
        <v/>
      </c>
      <c r="E50" s="24">
        <f>IF(LARGE('Product Tracker'!$AN$3:$AN$42,4)&gt;-9000,IFERROR(INDEX('Product Tracker'!$AD$3:$AD$42,MATCH(LARGE('Product Tracker'!$AN$3:$AN$42,4),'Product Tracker'!$AN$3:$AN$42,0)),""),"")</f>
        <v/>
      </c>
      <c r="F50" s="27">
        <f>IF(LARGE('Product Tracker'!$AN$3:$AN$42,4)&gt;-9000,IFERROR(INDEX('Product Tracker'!$P$3:$P$42,MATCH(LARGE('Product Tracker'!$AN$3:$AN$42,4),'Product Tracker'!$AN$3:$AN$42,0)),""),"")</f>
        <v/>
      </c>
    </row>
    <row r="51">
      <c r="A51" s="24" t="n">
        <v>5</v>
      </c>
      <c r="B51" s="25">
        <f>IF(LARGE('Product Tracker'!$AN$3:$AN$42,5)&gt;-9000,IFERROR(INDEX('Product Tracker'!$C$3:$C$42,MATCH(LARGE('Product Tracker'!$AN$3:$AN$42,5),'Product Tracker'!$AN$3:$AN$42,0)),""),"")</f>
        <v/>
      </c>
      <c r="C51" s="25">
        <f>IF(LARGE('Product Tracker'!$AN$3:$AN$42,5)&gt;-9000,IFERROR(INDEX('Product Tracker'!$A$3:$A$42,MATCH(LARGE('Product Tracker'!$AN$3:$AN$42,5),'Product Tracker'!$AN$3:$AN$42,0)),""),"")</f>
        <v/>
      </c>
      <c r="D51" s="26">
        <f>IF(LARGE('Product Tracker'!$AN$3:$AN$42,5)&gt;-9000,IFERROR(INDEX('Product Tracker'!$AC$3:$AC$42,MATCH(LARGE('Product Tracker'!$AN$3:$AN$42,5),'Product Tracker'!$AN$3:$AN$42,0)),""),"")</f>
        <v/>
      </c>
      <c r="E51" s="24">
        <f>IF(LARGE('Product Tracker'!$AN$3:$AN$42,5)&gt;-9000,IFERROR(INDEX('Product Tracker'!$AD$3:$AD$42,MATCH(LARGE('Product Tracker'!$AN$3:$AN$42,5),'Product Tracker'!$AN$3:$AN$42,0)),""),"")</f>
        <v/>
      </c>
      <c r="F51" s="27">
        <f>IF(LARGE('Product Tracker'!$AN$3:$AN$42,5)&gt;-9000,IFERROR(INDEX('Product Tracker'!$P$3:$P$42,MATCH(LARGE('Product Tracker'!$AN$3:$AN$42,5),'Product Tracker'!$AN$3:$AN$42,0)),""),"")</f>
        <v/>
      </c>
    </row>
    <row r="52">
      <c r="A52" s="24" t="n">
        <v>6</v>
      </c>
      <c r="B52" s="25">
        <f>IF(LARGE('Product Tracker'!$AN$3:$AN$42,6)&gt;-9000,IFERROR(INDEX('Product Tracker'!$C$3:$C$42,MATCH(LARGE('Product Tracker'!$AN$3:$AN$42,6),'Product Tracker'!$AN$3:$AN$42,0)),""),"")</f>
        <v/>
      </c>
      <c r="C52" s="25">
        <f>IF(LARGE('Product Tracker'!$AN$3:$AN$42,6)&gt;-9000,IFERROR(INDEX('Product Tracker'!$A$3:$A$42,MATCH(LARGE('Product Tracker'!$AN$3:$AN$42,6),'Product Tracker'!$AN$3:$AN$42,0)),""),"")</f>
        <v/>
      </c>
      <c r="D52" s="26">
        <f>IF(LARGE('Product Tracker'!$AN$3:$AN$42,6)&gt;-9000,IFERROR(INDEX('Product Tracker'!$AC$3:$AC$42,MATCH(LARGE('Product Tracker'!$AN$3:$AN$42,6),'Product Tracker'!$AN$3:$AN$42,0)),""),"")</f>
        <v/>
      </c>
      <c r="E52" s="24">
        <f>IF(LARGE('Product Tracker'!$AN$3:$AN$42,6)&gt;-9000,IFERROR(INDEX('Product Tracker'!$AD$3:$AD$42,MATCH(LARGE('Product Tracker'!$AN$3:$AN$42,6),'Product Tracker'!$AN$3:$AN$42,0)),""),"")</f>
        <v/>
      </c>
      <c r="F52" s="27">
        <f>IF(LARGE('Product Tracker'!$AN$3:$AN$42,6)&gt;-9000,IFERROR(INDEX('Product Tracker'!$P$3:$P$42,MATCH(LARGE('Product Tracker'!$AN$3:$AN$42,6),'Product Tracker'!$AN$3:$AN$42,0)),""),"")</f>
        <v/>
      </c>
    </row>
    <row r="53">
      <c r="A53" s="24" t="n">
        <v>7</v>
      </c>
      <c r="B53" s="25">
        <f>IF(LARGE('Product Tracker'!$AN$3:$AN$42,7)&gt;-9000,IFERROR(INDEX('Product Tracker'!$C$3:$C$42,MATCH(LARGE('Product Tracker'!$AN$3:$AN$42,7),'Product Tracker'!$AN$3:$AN$42,0)),""),"")</f>
        <v/>
      </c>
      <c r="C53" s="25">
        <f>IF(LARGE('Product Tracker'!$AN$3:$AN$42,7)&gt;-9000,IFERROR(INDEX('Product Tracker'!$A$3:$A$42,MATCH(LARGE('Product Tracker'!$AN$3:$AN$42,7),'Product Tracker'!$AN$3:$AN$42,0)),""),"")</f>
        <v/>
      </c>
      <c r="D53" s="26">
        <f>IF(LARGE('Product Tracker'!$AN$3:$AN$42,7)&gt;-9000,IFERROR(INDEX('Product Tracker'!$AC$3:$AC$42,MATCH(LARGE('Product Tracker'!$AN$3:$AN$42,7),'Product Tracker'!$AN$3:$AN$42,0)),""),"")</f>
        <v/>
      </c>
      <c r="E53" s="24">
        <f>IF(LARGE('Product Tracker'!$AN$3:$AN$42,7)&gt;-9000,IFERROR(INDEX('Product Tracker'!$AD$3:$AD$42,MATCH(LARGE('Product Tracker'!$AN$3:$AN$42,7),'Product Tracker'!$AN$3:$AN$42,0)),""),"")</f>
        <v/>
      </c>
      <c r="F53" s="27">
        <f>IF(LARGE('Product Tracker'!$AN$3:$AN$42,7)&gt;-9000,IFERROR(INDEX('Product Tracker'!$P$3:$P$42,MATCH(LARGE('Product Tracker'!$AN$3:$AN$42,7),'Product Tracker'!$AN$3:$AN$42,0)),""),"")</f>
        <v/>
      </c>
    </row>
    <row r="54">
      <c r="A54" s="24" t="n">
        <v>8</v>
      </c>
      <c r="B54" s="25">
        <f>IF(LARGE('Product Tracker'!$AN$3:$AN$42,8)&gt;-9000,IFERROR(INDEX('Product Tracker'!$C$3:$C$42,MATCH(LARGE('Product Tracker'!$AN$3:$AN$42,8),'Product Tracker'!$AN$3:$AN$42,0)),""),"")</f>
        <v/>
      </c>
      <c r="C54" s="25">
        <f>IF(LARGE('Product Tracker'!$AN$3:$AN$42,8)&gt;-9000,IFERROR(INDEX('Product Tracker'!$A$3:$A$42,MATCH(LARGE('Product Tracker'!$AN$3:$AN$42,8),'Product Tracker'!$AN$3:$AN$42,0)),""),"")</f>
        <v/>
      </c>
      <c r="D54" s="26">
        <f>IF(LARGE('Product Tracker'!$AN$3:$AN$42,8)&gt;-9000,IFERROR(INDEX('Product Tracker'!$AC$3:$AC$42,MATCH(LARGE('Product Tracker'!$AN$3:$AN$42,8),'Product Tracker'!$AN$3:$AN$42,0)),""),"")</f>
        <v/>
      </c>
      <c r="E54" s="24">
        <f>IF(LARGE('Product Tracker'!$AN$3:$AN$42,8)&gt;-9000,IFERROR(INDEX('Product Tracker'!$AD$3:$AD$42,MATCH(LARGE('Product Tracker'!$AN$3:$AN$42,8),'Product Tracker'!$AN$3:$AN$42,0)),""),"")</f>
        <v/>
      </c>
      <c r="F54" s="27">
        <f>IF(LARGE('Product Tracker'!$AN$3:$AN$42,8)&gt;-9000,IFERROR(INDEX('Product Tracker'!$P$3:$P$42,MATCH(LARGE('Product Tracker'!$AN$3:$AN$42,8),'Product Tracker'!$AN$3:$AN$42,0)),""),"")</f>
        <v/>
      </c>
    </row>
    <row r="55">
      <c r="A55" s="24" t="n">
        <v>9</v>
      </c>
      <c r="B55" s="25">
        <f>IF(LARGE('Product Tracker'!$AN$3:$AN$42,9)&gt;-9000,IFERROR(INDEX('Product Tracker'!$C$3:$C$42,MATCH(LARGE('Product Tracker'!$AN$3:$AN$42,9),'Product Tracker'!$AN$3:$AN$42,0)),""),"")</f>
        <v/>
      </c>
      <c r="C55" s="25">
        <f>IF(LARGE('Product Tracker'!$AN$3:$AN$42,9)&gt;-9000,IFERROR(INDEX('Product Tracker'!$A$3:$A$42,MATCH(LARGE('Product Tracker'!$AN$3:$AN$42,9),'Product Tracker'!$AN$3:$AN$42,0)),""),"")</f>
        <v/>
      </c>
      <c r="D55" s="26">
        <f>IF(LARGE('Product Tracker'!$AN$3:$AN$42,9)&gt;-9000,IFERROR(INDEX('Product Tracker'!$AC$3:$AC$42,MATCH(LARGE('Product Tracker'!$AN$3:$AN$42,9),'Product Tracker'!$AN$3:$AN$42,0)),""),"")</f>
        <v/>
      </c>
      <c r="E55" s="24">
        <f>IF(LARGE('Product Tracker'!$AN$3:$AN$42,9)&gt;-9000,IFERROR(INDEX('Product Tracker'!$AD$3:$AD$42,MATCH(LARGE('Product Tracker'!$AN$3:$AN$42,9),'Product Tracker'!$AN$3:$AN$42,0)),""),"")</f>
        <v/>
      </c>
      <c r="F55" s="27">
        <f>IF(LARGE('Product Tracker'!$AN$3:$AN$42,9)&gt;-9000,IFERROR(INDEX('Product Tracker'!$P$3:$P$42,MATCH(LARGE('Product Tracker'!$AN$3:$AN$42,9),'Product Tracker'!$AN$3:$AN$42,0)),""),"")</f>
        <v/>
      </c>
    </row>
    <row r="56">
      <c r="A56" s="24" t="n">
        <v>10</v>
      </c>
      <c r="B56" s="25">
        <f>IF(LARGE('Product Tracker'!$AN$3:$AN$42,10)&gt;-9000,IFERROR(INDEX('Product Tracker'!$C$3:$C$42,MATCH(LARGE('Product Tracker'!$AN$3:$AN$42,10),'Product Tracker'!$AN$3:$AN$42,0)),""),"")</f>
        <v/>
      </c>
      <c r="C56" s="25">
        <f>IF(LARGE('Product Tracker'!$AN$3:$AN$42,10)&gt;-9000,IFERROR(INDEX('Product Tracker'!$A$3:$A$42,MATCH(LARGE('Product Tracker'!$AN$3:$AN$42,10),'Product Tracker'!$AN$3:$AN$42,0)),""),"")</f>
        <v/>
      </c>
      <c r="D56" s="26">
        <f>IF(LARGE('Product Tracker'!$AN$3:$AN$42,10)&gt;-9000,IFERROR(INDEX('Product Tracker'!$AC$3:$AC$42,MATCH(LARGE('Product Tracker'!$AN$3:$AN$42,10),'Product Tracker'!$AN$3:$AN$42,0)),""),"")</f>
        <v/>
      </c>
      <c r="E56" s="24">
        <f>IF(LARGE('Product Tracker'!$AN$3:$AN$42,10)&gt;-9000,IFERROR(INDEX('Product Tracker'!$AD$3:$AD$42,MATCH(LARGE('Product Tracker'!$AN$3:$AN$42,10),'Product Tracker'!$AN$3:$AN$42,0)),""),"")</f>
        <v/>
      </c>
      <c r="F56" s="27">
        <f>IF(LARGE('Product Tracker'!$AN$3:$AN$42,10)&gt;-9000,IFERROR(INDEX('Product Tracker'!$P$3:$P$42,MATCH(LARGE('Product Tracker'!$AN$3:$AN$42,10),'Product Tracker'!$AN$3:$AN$42,0)),""),"")</f>
        <v/>
      </c>
    </row>
    <row r="57">
      <c r="A57" s="24" t="n">
        <v>11</v>
      </c>
      <c r="B57" s="25">
        <f>IF(LARGE('Product Tracker'!$AN$3:$AN$42,11)&gt;-9000,IFERROR(INDEX('Product Tracker'!$C$3:$C$42,MATCH(LARGE('Product Tracker'!$AN$3:$AN$42,11),'Product Tracker'!$AN$3:$AN$42,0)),""),"")</f>
        <v/>
      </c>
      <c r="C57" s="25">
        <f>IF(LARGE('Product Tracker'!$AN$3:$AN$42,11)&gt;-9000,IFERROR(INDEX('Product Tracker'!$A$3:$A$42,MATCH(LARGE('Product Tracker'!$AN$3:$AN$42,11),'Product Tracker'!$AN$3:$AN$42,0)),""),"")</f>
        <v/>
      </c>
      <c r="D57" s="26">
        <f>IF(LARGE('Product Tracker'!$AN$3:$AN$42,11)&gt;-9000,IFERROR(INDEX('Product Tracker'!$AC$3:$AC$42,MATCH(LARGE('Product Tracker'!$AN$3:$AN$42,11),'Product Tracker'!$AN$3:$AN$42,0)),""),"")</f>
        <v/>
      </c>
      <c r="E57" s="24">
        <f>IF(LARGE('Product Tracker'!$AN$3:$AN$42,11)&gt;-9000,IFERROR(INDEX('Product Tracker'!$AD$3:$AD$42,MATCH(LARGE('Product Tracker'!$AN$3:$AN$42,11),'Product Tracker'!$AN$3:$AN$42,0)),""),"")</f>
        <v/>
      </c>
      <c r="F57" s="27">
        <f>IF(LARGE('Product Tracker'!$AN$3:$AN$42,11)&gt;-9000,IFERROR(INDEX('Product Tracker'!$P$3:$P$42,MATCH(LARGE('Product Tracker'!$AN$3:$AN$42,11),'Product Tracker'!$AN$3:$AN$42,0)),""),"")</f>
        <v/>
      </c>
    </row>
    <row r="58">
      <c r="A58" s="24" t="n">
        <v>12</v>
      </c>
      <c r="B58" s="25">
        <f>IF(LARGE('Product Tracker'!$AN$3:$AN$42,12)&gt;-9000,IFERROR(INDEX('Product Tracker'!$C$3:$C$42,MATCH(LARGE('Product Tracker'!$AN$3:$AN$42,12),'Product Tracker'!$AN$3:$AN$42,0)),""),"")</f>
        <v/>
      </c>
      <c r="C58" s="25">
        <f>IF(LARGE('Product Tracker'!$AN$3:$AN$42,12)&gt;-9000,IFERROR(INDEX('Product Tracker'!$A$3:$A$42,MATCH(LARGE('Product Tracker'!$AN$3:$AN$42,12),'Product Tracker'!$AN$3:$AN$42,0)),""),"")</f>
        <v/>
      </c>
      <c r="D58" s="26">
        <f>IF(LARGE('Product Tracker'!$AN$3:$AN$42,12)&gt;-9000,IFERROR(INDEX('Product Tracker'!$AC$3:$AC$42,MATCH(LARGE('Product Tracker'!$AN$3:$AN$42,12),'Product Tracker'!$AN$3:$AN$42,0)),""),"")</f>
        <v/>
      </c>
      <c r="E58" s="24">
        <f>IF(LARGE('Product Tracker'!$AN$3:$AN$42,12)&gt;-9000,IFERROR(INDEX('Product Tracker'!$AD$3:$AD$42,MATCH(LARGE('Product Tracker'!$AN$3:$AN$42,12),'Product Tracker'!$AN$3:$AN$42,0)),""),"")</f>
        <v/>
      </c>
      <c r="F58" s="27">
        <f>IF(LARGE('Product Tracker'!$AN$3:$AN$42,12)&gt;-9000,IFERROR(INDEX('Product Tracker'!$P$3:$P$42,MATCH(LARGE('Product Tracker'!$AN$3:$AN$42,12),'Product Tracker'!$AN$3:$AN$42,0)),""),"")</f>
        <v/>
      </c>
    </row>
    <row r="59">
      <c r="A59" s="24" t="n">
        <v>13</v>
      </c>
      <c r="B59" s="25">
        <f>IF(LARGE('Product Tracker'!$AN$3:$AN$42,13)&gt;-9000,IFERROR(INDEX('Product Tracker'!$C$3:$C$42,MATCH(LARGE('Product Tracker'!$AN$3:$AN$42,13),'Product Tracker'!$AN$3:$AN$42,0)),""),"")</f>
        <v/>
      </c>
      <c r="C59" s="25">
        <f>IF(LARGE('Product Tracker'!$AN$3:$AN$42,13)&gt;-9000,IFERROR(INDEX('Product Tracker'!$A$3:$A$42,MATCH(LARGE('Product Tracker'!$AN$3:$AN$42,13),'Product Tracker'!$AN$3:$AN$42,0)),""),"")</f>
        <v/>
      </c>
      <c r="D59" s="26">
        <f>IF(LARGE('Product Tracker'!$AN$3:$AN$42,13)&gt;-9000,IFERROR(INDEX('Product Tracker'!$AC$3:$AC$42,MATCH(LARGE('Product Tracker'!$AN$3:$AN$42,13),'Product Tracker'!$AN$3:$AN$42,0)),""),"")</f>
        <v/>
      </c>
      <c r="E59" s="24">
        <f>IF(LARGE('Product Tracker'!$AN$3:$AN$42,13)&gt;-9000,IFERROR(INDEX('Product Tracker'!$AD$3:$AD$42,MATCH(LARGE('Product Tracker'!$AN$3:$AN$42,13),'Product Tracker'!$AN$3:$AN$42,0)),""),"")</f>
        <v/>
      </c>
      <c r="F59" s="27">
        <f>IF(LARGE('Product Tracker'!$AN$3:$AN$42,13)&gt;-9000,IFERROR(INDEX('Product Tracker'!$P$3:$P$42,MATCH(LARGE('Product Tracker'!$AN$3:$AN$42,13),'Product Tracker'!$AN$3:$AN$42,0)),""),"")</f>
        <v/>
      </c>
    </row>
    <row r="60">
      <c r="A60" s="24" t="n">
        <v>14</v>
      </c>
      <c r="B60" s="25">
        <f>IF(LARGE('Product Tracker'!$AN$3:$AN$42,14)&gt;-9000,IFERROR(INDEX('Product Tracker'!$C$3:$C$42,MATCH(LARGE('Product Tracker'!$AN$3:$AN$42,14),'Product Tracker'!$AN$3:$AN$42,0)),""),"")</f>
        <v/>
      </c>
      <c r="C60" s="25">
        <f>IF(LARGE('Product Tracker'!$AN$3:$AN$42,14)&gt;-9000,IFERROR(INDEX('Product Tracker'!$A$3:$A$42,MATCH(LARGE('Product Tracker'!$AN$3:$AN$42,14),'Product Tracker'!$AN$3:$AN$42,0)),""),"")</f>
        <v/>
      </c>
      <c r="D60" s="26">
        <f>IF(LARGE('Product Tracker'!$AN$3:$AN$42,14)&gt;-9000,IFERROR(INDEX('Product Tracker'!$AC$3:$AC$42,MATCH(LARGE('Product Tracker'!$AN$3:$AN$42,14),'Product Tracker'!$AN$3:$AN$42,0)),""),"")</f>
        <v/>
      </c>
      <c r="E60" s="24">
        <f>IF(LARGE('Product Tracker'!$AN$3:$AN$42,14)&gt;-9000,IFERROR(INDEX('Product Tracker'!$AD$3:$AD$42,MATCH(LARGE('Product Tracker'!$AN$3:$AN$42,14),'Product Tracker'!$AN$3:$AN$42,0)),""),"")</f>
        <v/>
      </c>
      <c r="F60" s="27">
        <f>IF(LARGE('Product Tracker'!$AN$3:$AN$42,14)&gt;-9000,IFERROR(INDEX('Product Tracker'!$P$3:$P$42,MATCH(LARGE('Product Tracker'!$AN$3:$AN$42,14),'Product Tracker'!$AN$3:$AN$42,0)),""),"")</f>
        <v/>
      </c>
    </row>
    <row r="61">
      <c r="A61" s="24" t="n">
        <v>15</v>
      </c>
      <c r="B61" s="25">
        <f>IF(LARGE('Product Tracker'!$AN$3:$AN$42,15)&gt;-9000,IFERROR(INDEX('Product Tracker'!$C$3:$C$42,MATCH(LARGE('Product Tracker'!$AN$3:$AN$42,15),'Product Tracker'!$AN$3:$AN$42,0)),""),"")</f>
        <v/>
      </c>
      <c r="C61" s="25">
        <f>IF(LARGE('Product Tracker'!$AN$3:$AN$42,15)&gt;-9000,IFERROR(INDEX('Product Tracker'!$A$3:$A$42,MATCH(LARGE('Product Tracker'!$AN$3:$AN$42,15),'Product Tracker'!$AN$3:$AN$42,0)),""),"")</f>
        <v/>
      </c>
      <c r="D61" s="26">
        <f>IF(LARGE('Product Tracker'!$AN$3:$AN$42,15)&gt;-9000,IFERROR(INDEX('Product Tracker'!$AC$3:$AC$42,MATCH(LARGE('Product Tracker'!$AN$3:$AN$42,15),'Product Tracker'!$AN$3:$AN$42,0)),""),"")</f>
        <v/>
      </c>
      <c r="E61" s="24">
        <f>IF(LARGE('Product Tracker'!$AN$3:$AN$42,15)&gt;-9000,IFERROR(INDEX('Product Tracker'!$AD$3:$AD$42,MATCH(LARGE('Product Tracker'!$AN$3:$AN$42,15),'Product Tracker'!$AN$3:$AN$42,0)),""),"")</f>
        <v/>
      </c>
      <c r="F61" s="27">
        <f>IF(LARGE('Product Tracker'!$AN$3:$AN$42,15)&gt;-9000,IFERROR(INDEX('Product Tracker'!$P$3:$P$42,MATCH(LARGE('Product Tracker'!$AN$3:$AN$42,15),'Product Tracker'!$AN$3:$AN$42,0)),""),"")</f>
        <v/>
      </c>
    </row>
  </sheetData>
  <mergeCells count="8">
    <mergeCell ref="A24:F24"/>
    <mergeCell ref="A2:F2"/>
    <mergeCell ref="A38:F38"/>
    <mergeCell ref="A1:F1"/>
    <mergeCell ref="A45:F45"/>
    <mergeCell ref="A31:F31"/>
    <mergeCell ref="A12:F12"/>
    <mergeCell ref="A4:F4"/>
  </mergeCells>
  <pageMargins left="0.75" right="0.75" top="1" bottom="1" header="0.5" footer="0.5"/>
</worksheet>
</file>

<file path=xl/worksheets/sheet3.xml><?xml version="1.0" encoding="utf-8"?>
<worksheet xmlns="http://schemas.openxmlformats.org/spreadsheetml/2006/main">
  <sheetPr>
    <tabColor rgb="006B4F4F"/>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1" t="inlineStr">
        <is>
          <t>AAYNA Product Scout Lite — Claude Scoring Prompt</t>
        </is>
      </c>
    </row>
    <row r="2" ht="40" customHeight="1">
      <c r="A2" s="28" t="inlineStr">
        <is>
          <t>Copy everything in the box below into Claude (or another AI assistant), paste in the product photo/link/description where indicated, then copy Claude's reply back into the matching score columns on the Product Tracker tab.</t>
        </is>
      </c>
    </row>
    <row r="4" ht="520" customHeight="1">
      <c r="A4" s="29" t="inlineStr">
        <is>
          <t>You are helping AAYNA, a Bangladesh-based women's accessories brand, evaluate a sourcing candidate product.
AAYNA's brand identity: feminine, trendy, affordable, clean and modern, with a warm, social-media-friendly feel. Visual aesthetic: dusty rose, cream white, antique gold, and espresso charcoal. Most products sell under BDT 700.
Here is the product: [paste product name, description, photos/link, and supplier price here]
Score this product from 1 (worst) to 5 (best) on each of these 10 criteria, with a one-line reason for each score:
1. Feminine Score - how feminine/delicate does it look?
2. Trend Score - how on-trend is it right now (TikTok/Instagram/competitors)?
3. AAYNA Aesthetic Fit Score - how well does it match our dusty rose / cream / antique gold look?
4. Easy to Style Score - how easily can a customer style this with everyday outfits?
5. Lightweight Score - how light/comfortable is it to wear or carry?
6. Reels/Photo Potential Score - how good would this look in a Reel, photo, or unboxing video?
7. Giftability Score - how good is this as a gift?
8. Price Fit Score - how comfortably can we sell this under BDT 700 and still profit?
9. Demand Score - how likely is our target customer to actually want and buy this?
10. Quality/Risk Score - how low is the risk of poor quality, damage in transit, or returns?
Then give:
- A Recommended Decision: Buy, Maybe, Price Review, or Reject
- A one-sentence Reason for that decision
- A short Content/Reel Idea for how we'd promote this product
Format your answer exactly like this so it's easy to paste into the sheet:
Feminine: _ - reason
Trend: _ - reason
Aesthetic Fit: _ - reason
Easy to Style: _ - reason
Lightweight: _ - reason
Reels/Photo: _ - reason
Giftability: _ - reason
Price Fit: _ - reason
Demand: _ - reason
Quality/Risk: _ - reason
Recommended Decision: _
Reason: _
Content/Reel Idea: _</t>
        </is>
      </c>
    </row>
    <row r="6" ht="40" customHeight="1">
      <c r="A6" s="28" t="inlineStr">
        <is>
          <t>Tip: if you ever change the 10 scoring criteria, their order, or the price ceiling in the Settings tab, update this prompt to match so Claude's answers keep lining up with the Product Tracker columns.</t>
        </is>
      </c>
    </row>
  </sheetData>
  <pageMargins left="0.75" right="0.75" top="1" bottom="1" header="0.5" footer="0.5"/>
</worksheet>
</file>

<file path=xl/worksheets/sheet4.xml><?xml version="1.0" encoding="utf-8"?>
<worksheet xmlns="http://schemas.openxmlformats.org/spreadsheetml/2006/main">
  <sheetPr>
    <tabColor rgb="00B89B5E"/>
    <outlinePr summaryBelow="1" summaryRight="1"/>
    <pageSetUpPr/>
  </sheetPr>
  <dimension ref="A1:D23"/>
  <sheetViews>
    <sheetView workbookViewId="0">
      <selection activeCell="A1" sqref="A1"/>
    </sheetView>
  </sheetViews>
  <sheetFormatPr baseColWidth="8" defaultRowHeight="15"/>
  <cols>
    <col width="36" customWidth="1" min="1" max="1"/>
    <col width="12" customWidth="1" min="2" max="2"/>
    <col width="50" customWidth="1" min="3" max="3"/>
  </cols>
  <sheetData>
    <row r="1">
      <c r="A1" s="1" t="inlineStr">
        <is>
          <t>AAYNA Product Scout Lite — Settings</t>
        </is>
      </c>
    </row>
    <row r="2">
      <c r="A2" s="19" t="inlineStr">
        <is>
          <t>Tune these numbers once. Every formula in the Product Tracker tab reads from here.</t>
        </is>
      </c>
    </row>
    <row r="4">
      <c r="A4" s="20" t="inlineStr">
        <is>
          <t>Setting</t>
        </is>
      </c>
      <c r="B4" s="20" t="inlineStr">
        <is>
          <t>Value</t>
        </is>
      </c>
      <c r="C4" s="20" t="inlineStr">
        <is>
          <t>Notes</t>
        </is>
      </c>
    </row>
    <row r="5">
      <c r="A5" s="21" t="inlineStr">
        <is>
          <t>USD to BDT exchange rate</t>
        </is>
      </c>
      <c r="B5" t="n">
        <v>122</v>
      </c>
      <c r="C5" s="19" t="inlineStr">
        <is>
          <t>Update when BDT/USD rate changes</t>
        </is>
      </c>
    </row>
    <row r="6">
      <c r="A6" s="21" t="inlineStr">
        <is>
          <t>RMB (CNY) to BDT exchange rate</t>
        </is>
      </c>
      <c r="B6" t="n">
        <v>17</v>
      </c>
      <c r="C6" s="19" t="inlineStr">
        <is>
          <t>Update when BDT/CNY rate changes</t>
        </is>
      </c>
    </row>
    <row r="7">
      <c r="A7" s="21" t="inlineStr">
        <is>
          <t>Default customs/duty %</t>
        </is>
      </c>
      <c r="B7" t="n">
        <v>0.07000000000000001</v>
      </c>
      <c r="C7" s="19" t="inlineStr">
        <is>
          <t>As decimal, e.g. 0.07 = 7%</t>
        </is>
      </c>
    </row>
    <row r="8">
      <c r="A8" s="21" t="inlineStr">
        <is>
          <t>Default misc fee per unit (BDT)</t>
        </is>
      </c>
      <c r="B8" t="n">
        <v>15</v>
      </c>
      <c r="C8" s="19" t="inlineStr">
        <is>
          <t>Packaging, handling, platform fees per piece</t>
        </is>
      </c>
    </row>
    <row r="9">
      <c r="A9" s="21" t="inlineStr">
        <is>
          <t>Default markup % over landed cost</t>
        </is>
      </c>
      <c r="B9" t="n">
        <v>1</v>
      </c>
      <c r="C9" s="19" t="inlineStr">
        <is>
          <t>1.0 = 100% markup (sell at 2x landed cost)</t>
        </is>
      </c>
    </row>
    <row r="10">
      <c r="A10" s="21" t="inlineStr">
        <is>
          <t>Target max selling price (BDT)</t>
        </is>
      </c>
      <c r="B10" t="n">
        <v>700</v>
      </c>
      <c r="C10" s="19" t="inlineStr">
        <is>
          <t>AAYNA's 'mostly under' price ceiling</t>
        </is>
      </c>
    </row>
    <row r="11">
      <c r="A11" s="21" t="inlineStr">
        <is>
          <t>Hard reject price ceiling (BDT)</t>
        </is>
      </c>
      <c r="B11" t="n">
        <v>1000</v>
      </c>
      <c r="C11" s="19" t="inlineStr">
        <is>
          <t>Above the target price but at/under this = 'Price Review' (negotiable). Above this = automatic 'Reject'.</t>
        </is>
      </c>
    </row>
    <row r="12">
      <c r="A12" s="21" t="inlineStr">
        <is>
          <t>Weight: Feminine Score</t>
        </is>
      </c>
      <c r="B12" t="n">
        <v>0.1</v>
      </c>
      <c r="C12" s="19" t="inlineStr">
        <is>
          <t>All 10 weights below must add up to 1.00</t>
        </is>
      </c>
    </row>
    <row r="13">
      <c r="A13" s="21" t="inlineStr">
        <is>
          <t>Weight: Trend Score</t>
        </is>
      </c>
      <c r="B13" t="n">
        <v>0.1</v>
      </c>
      <c r="C13" s="19" t="inlineStr"/>
    </row>
    <row r="14">
      <c r="A14" s="21" t="inlineStr">
        <is>
          <t>Weight: AAYNA Aesthetic Fit Score</t>
        </is>
      </c>
      <c r="B14" t="n">
        <v>0.15</v>
      </c>
      <c r="C14" s="19" t="inlineStr"/>
    </row>
    <row r="15">
      <c r="A15" s="21" t="inlineStr">
        <is>
          <t>Weight: Easy to Style Score</t>
        </is>
      </c>
      <c r="B15" t="n">
        <v>0.08</v>
      </c>
      <c r="C15" s="19" t="inlineStr"/>
    </row>
    <row r="16">
      <c r="A16" s="21" t="inlineStr">
        <is>
          <t>Weight: Lightweight Score</t>
        </is>
      </c>
      <c r="B16" t="n">
        <v>0.07000000000000001</v>
      </c>
      <c r="C16" s="19" t="inlineStr"/>
    </row>
    <row r="17">
      <c r="A17" s="21" t="inlineStr">
        <is>
          <t>Weight: Reels/Photo Potential Score</t>
        </is>
      </c>
      <c r="B17" t="n">
        <v>0.1</v>
      </c>
      <c r="C17" s="19" t="inlineStr"/>
    </row>
    <row r="18">
      <c r="A18" s="21" t="inlineStr">
        <is>
          <t>Weight: Giftability Score</t>
        </is>
      </c>
      <c r="B18" t="n">
        <v>0.08</v>
      </c>
      <c r="C18" s="19" t="inlineStr"/>
    </row>
    <row r="19">
      <c r="A19" s="21" t="inlineStr">
        <is>
          <t>Weight: Price Fit Score</t>
        </is>
      </c>
      <c r="B19" t="n">
        <v>0.12</v>
      </c>
      <c r="C19" s="19" t="inlineStr"/>
    </row>
    <row r="20">
      <c r="A20" s="21" t="inlineStr">
        <is>
          <t>Weight: Demand Score</t>
        </is>
      </c>
      <c r="B20" t="n">
        <v>0.12</v>
      </c>
      <c r="C20" s="19" t="inlineStr"/>
    </row>
    <row r="21">
      <c r="A21" s="21" t="inlineStr">
        <is>
          <t>Weight: Quality/Risk Score</t>
        </is>
      </c>
      <c r="B21" t="n">
        <v>0.08</v>
      </c>
      <c r="C21" s="19" t="inlineStr"/>
    </row>
    <row r="22">
      <c r="A22" s="21" t="inlineStr">
        <is>
          <t>Buy threshold (score &gt;=)</t>
        </is>
      </c>
      <c r="B22" t="n">
        <v>75</v>
      </c>
      <c r="C22" s="19" t="inlineStr">
        <is>
          <t>Total Product Score is out of 100</t>
        </is>
      </c>
    </row>
    <row r="23">
      <c r="A23" s="21" t="inlineStr">
        <is>
          <t>Maybe threshold (score &gt;=)</t>
        </is>
      </c>
      <c r="B23" t="n">
        <v>50</v>
      </c>
      <c r="C23" s="19" t="inlineStr">
        <is>
          <t>Below this = Reject</t>
        </is>
      </c>
    </row>
  </sheetData>
  <mergeCells count="2">
    <mergeCell ref="A1:C1"/>
    <mergeCell ref="A2:D2"/>
  </mergeCells>
  <pageMargins left="0.75" right="0.75" top="1" bottom="1" header="0.5" footer="0.5"/>
</worksheet>
</file>

<file path=xl/worksheets/sheet5.xml><?xml version="1.0" encoding="utf-8"?>
<worksheet xmlns="http://schemas.openxmlformats.org/spreadsheetml/2006/main">
  <sheetPr>
    <tabColor rgb="00B89B5E"/>
    <outlinePr summaryBelow="1" summaryRight="1"/>
    <pageSetUpPr/>
  </sheetPr>
  <dimension ref="A1:F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20" t="inlineStr">
        <is>
          <t>Source Platform</t>
        </is>
      </c>
      <c r="B1" s="20" t="inlineStr">
        <is>
          <t>Category</t>
        </is>
      </c>
      <c r="C1" s="20" t="inlineStr">
        <is>
          <t>Source Currency</t>
        </is>
      </c>
      <c r="D1" s="20" t="inlineStr">
        <is>
          <t>Decision</t>
        </is>
      </c>
      <c r="E1" s="20" t="inlineStr">
        <is>
          <t>Approval Status</t>
        </is>
      </c>
      <c r="F1" s="20" t="inlineStr">
        <is>
          <t>Score (1-5)</t>
        </is>
      </c>
    </row>
    <row r="2">
      <c r="A2" t="inlineStr">
        <is>
          <t>SkyBuyBD</t>
        </is>
      </c>
      <c r="B2" t="inlineStr">
        <is>
          <t>Earrings</t>
        </is>
      </c>
      <c r="C2" t="inlineStr">
        <is>
          <t>BDT</t>
        </is>
      </c>
      <c r="D2" t="inlineStr">
        <is>
          <t>Buy</t>
        </is>
      </c>
      <c r="E2" t="inlineStr">
        <is>
          <t>Pending</t>
        </is>
      </c>
      <c r="F2" t="n">
        <v>1</v>
      </c>
    </row>
    <row r="3">
      <c r="A3" t="inlineStr">
        <is>
          <t>AliExpress</t>
        </is>
      </c>
      <c r="B3" t="inlineStr">
        <is>
          <t>Necklace</t>
        </is>
      </c>
      <c r="C3" t="inlineStr">
        <is>
          <t>USD</t>
        </is>
      </c>
      <c r="D3" t="inlineStr">
        <is>
          <t>Maybe</t>
        </is>
      </c>
      <c r="E3" t="inlineStr">
        <is>
          <t>Approved</t>
        </is>
      </c>
      <c r="F3" t="n">
        <v>2</v>
      </c>
    </row>
    <row r="4">
      <c r="A4" t="inlineStr">
        <is>
          <t>Yiwugo</t>
        </is>
      </c>
      <c r="B4" t="inlineStr">
        <is>
          <t>Bracelet</t>
        </is>
      </c>
      <c r="C4" t="inlineStr">
        <is>
          <t>RMB</t>
        </is>
      </c>
      <c r="D4" t="inlineStr">
        <is>
          <t>Price Review</t>
        </is>
      </c>
      <c r="E4" t="inlineStr">
        <is>
          <t>Rejected</t>
        </is>
      </c>
      <c r="F4" t="n">
        <v>3</v>
      </c>
    </row>
    <row r="5">
      <c r="A5" t="inlineStr">
        <is>
          <t>1688</t>
        </is>
      </c>
      <c r="B5" t="inlineStr">
        <is>
          <t>Ring</t>
        </is>
      </c>
      <c r="D5" t="inlineStr">
        <is>
          <t>Reject</t>
        </is>
      </c>
      <c r="E5" t="inlineStr">
        <is>
          <t>On Hold</t>
        </is>
      </c>
      <c r="F5" t="n">
        <v>4</v>
      </c>
    </row>
    <row r="6">
      <c r="A6" t="inlineStr">
        <is>
          <t>Local Wholesale</t>
        </is>
      </c>
      <c r="B6" t="inlineStr">
        <is>
          <t>Hair Accessory</t>
        </is>
      </c>
      <c r="F6" t="n">
        <v>5</v>
      </c>
    </row>
    <row r="7">
      <c r="A7" t="inlineStr">
        <is>
          <t>Other</t>
        </is>
      </c>
      <c r="B7" t="inlineStr">
        <is>
          <t>Bag</t>
        </is>
      </c>
    </row>
    <row r="8">
      <c r="B8" t="inlineStr">
        <is>
          <t>Belt</t>
        </is>
      </c>
    </row>
    <row r="9">
      <c r="B9" t="inlineStr">
        <is>
          <t>Sunglasses</t>
        </is>
      </c>
    </row>
    <row r="10">
      <c r="B10" t="inlineStr">
        <is>
          <t>Watch</t>
        </is>
      </c>
    </row>
    <row r="11">
      <c r="B11" t="inlineStr">
        <is>
          <t>Scarf</t>
        </is>
      </c>
    </row>
    <row r="12">
      <c r="B12" t="inlineStr">
        <is>
          <t>Hijab Accessory</t>
        </is>
      </c>
    </row>
    <row r="13">
      <c r="B13" t="inlineStr">
        <is>
          <t>Other</t>
        </is>
      </c>
    </row>
  </sheetData>
  <pageMargins left="0.75" right="0.75" top="1" bottom="1" header="0.5" footer="0.5"/>
</worksheet>
</file>

<file path=xl/worksheets/sheet6.xml><?xml version="1.0" encoding="utf-8"?>
<worksheet xmlns="http://schemas.openxmlformats.org/spreadsheetml/2006/main">
  <sheetPr>
    <tabColor rgb="003B2F2A"/>
    <outlinePr summaryBelow="1" summaryRight="1"/>
    <pageSetUpPr/>
  </sheetPr>
  <dimension ref="A1:B14"/>
  <sheetViews>
    <sheetView workbookViewId="0">
      <selection activeCell="A1" sqref="A1"/>
    </sheetView>
  </sheetViews>
  <sheetFormatPr baseColWidth="8" defaultRowHeight="15"/>
  <cols>
    <col width="34" customWidth="1" min="1" max="1"/>
    <col width="90" customWidth="1" min="2" max="2"/>
  </cols>
  <sheetData>
    <row r="1">
      <c r="A1" s="1" t="inlineStr">
        <is>
          <t>AAYNA Product Scout Lite — How To Use</t>
        </is>
      </c>
    </row>
    <row r="2" ht="100" customHeight="1">
      <c r="A2" s="21" t="inlineStr">
        <is>
          <t>Overview</t>
        </is>
      </c>
      <c r="B2" s="30" t="inlineStr">
        <is>
          <t>This sheet helps the 3 of us score and decide on products from SkyBuyBD, AliExpress, or other China sourcing platforms — fast, consistently, and without spreadsheets fights.
Workflow: Whoever finds a product adds a new row and fills in the WHITE input columns only. The colored formula columns calculate themselves. Then each partner fills in the 10 score columns (or pastes in Claude's scores from the Claude Scoring Prompt tab), and the sheet tells you Buy / Maybe / Price Review / Reject automatically.</t>
        </is>
      </c>
    </row>
    <row r="4" ht="75" customHeight="1">
      <c r="A4" s="31" t="inlineStr">
        <is>
          <t>Step 1 — Add the product</t>
        </is>
      </c>
      <c r="B4" s="30" t="inlineStr">
        <is>
          <t>SKU fills in automatically. Enter Date Added, Product Name, Image/Link, Category, Source Platform, Source URL, Supplier Name.</t>
        </is>
      </c>
    </row>
    <row r="5" ht="75" customHeight="1">
      <c r="A5" s="31" t="inlineStr">
        <is>
          <t>Step 2 — Enter cost info</t>
        </is>
      </c>
      <c r="B5" s="30" t="inlineStr">
        <is>
          <t>Enter Unit Cost in whatever currency the supplier quoted (USD/RMB/BDT), pick the currency, then enter Shipping Cost/Unit and Misc Fees if known. Customs % and Misc Fees auto-fill from Settings tab if left blank.</t>
        </is>
      </c>
    </row>
    <row r="6" ht="75" customHeight="1">
      <c r="A6" s="31" t="inlineStr">
        <is>
          <t>Step 3 — Let it calculate</t>
        </is>
      </c>
      <c r="B6" s="30" t="inlineStr">
        <is>
          <t>Unit Cost (BDT), Estimated Landed Cost, Suggested Selling Price, Expected Profit, and Profit Margin % fill in automatically.</t>
        </is>
      </c>
    </row>
    <row r="7" ht="75" customHeight="1">
      <c r="A7" s="31" t="inlineStr">
        <is>
          <t>Step 4 — Score it (1 = worst, 5 = best)</t>
        </is>
      </c>
      <c r="B7" s="30" t="inlineStr">
        <is>
          <t>Feminine: how feminine/delicate does it look? Trend: how hot is this right now (TikTok/IG/competitors)? AAYNA Aesthetic Fit: how well does it match our dusty rose / cream / antique gold look? Easy to Style: how easily can a customer style this with everyday outfits? Lightweight: how light/comfortable is it to wear or carry? Reels/Photo Potential: how good would this look in a Reel, photo, or unboxing video? Giftability: how good is this as a gift? Price Fit: how comfortably can we sell this under BDT 700 and still profit? Demand: how likely is our target customer to actually want and buy this? Quality/Risk: how low is the risk of poor quality, damage in transit, or returns? Tip: use the Claude Scoring Prompt tab to get an AI first opinion on all 10 scores at once.</t>
        </is>
      </c>
    </row>
    <row r="8" ht="75" customHeight="1">
      <c r="A8" s="31" t="inlineStr">
        <is>
          <t>Step 5 — Read the verdict</t>
        </is>
      </c>
      <c r="B8" s="30" t="inlineStr">
        <is>
          <t>Total Product Score (0-100) calculates automatically using the weights set in the Settings tab. Decision applies these hard rules on top of the score: if Suggested Selling Price is over BDT 700, Decision becomes 'Price Review' (and 'Reject' if it's far over, above the Hard Reject Price Ceiling in Settings); if Quality/Risk or AAYNA Aesthetic Fit score is 1 or 2, Decision can never be 'Buy' (it caps at 'Maybe') even if the total score is high. Buy = green, Maybe = yellow, Price Review = orange, Reject = red.</t>
        </is>
      </c>
    </row>
    <row r="9" ht="75" customHeight="1">
      <c r="A9" s="31" t="inlineStr">
        <is>
          <t>Step 6 — Decide together</t>
        </is>
      </c>
      <c r="B9" s="30" t="inlineStr">
        <is>
          <t>Add a short Reason so the other partners know WHY. Add a Content/Reel Idea so marketing has a head start. Set Approval Status once all partners agree, note who Approved and the date.</t>
        </is>
      </c>
    </row>
    <row r="10" ht="75" customHeight="1">
      <c r="A10" s="31" t="inlineStr">
        <is>
          <t>Adjusting the formulas</t>
        </is>
      </c>
      <c r="B10" s="30" t="inlineStr">
        <is>
          <t>Don't like the default markup, exchange rate, price ceilings, or scoring weights? Change them ONCE in the Settings tab — every row updates automatically. No need to touch the Product Tracker formulas.</t>
        </is>
      </c>
    </row>
    <row r="11" ht="75" customHeight="1">
      <c r="A11" s="31" t="inlineStr">
        <is>
          <t>The Dashboard tab</t>
        </is>
      </c>
      <c r="B11" s="30" t="inlineStr">
        <is>
          <t>A live, read-only overview: how many products are Buy/Maybe/Price Review/Reject, the Top 10 highest scoring products, the best products under BDT 700, the best products for reels/photos, the best giftable products, and everything still waiting on partner review. Nothing on this tab needs to be filled in by hand — it reads straight from the Product Tracker tab.</t>
        </is>
      </c>
    </row>
    <row r="12" ht="75" customHeight="1">
      <c r="A12" s="31" t="inlineStr">
        <is>
          <t>The Claude Scoring Prompt tab</t>
        </is>
      </c>
      <c r="B12" s="30" t="inlineStr">
        <is>
          <t>A ready-to-copy prompt for getting an AI first opinion on a product's 10 scores, a recommended decision, and a content/reel idea, formatted so the reply is easy to paste back into the right columns.</t>
        </is>
      </c>
    </row>
    <row r="13" ht="75" customHeight="1">
      <c r="A13" s="31" t="inlineStr">
        <is>
          <t>Color key</t>
        </is>
      </c>
      <c r="B13" s="30" t="inlineStr">
        <is>
          <t>Green = Buy / Approved. Yellow = Maybe / Pending. Orange = Price Review (price is over our 700 BDT target but might still be worth negotiating). Red = Reject / Rejected, or a Quality/Risk or Aesthetic Fit score of 1-2.</t>
        </is>
      </c>
    </row>
    <row r="14" ht="75" customHeight="1">
      <c r="A14" s="31" t="inlineStr">
        <is>
          <t>Tips for 3-partner teams</t>
        </is>
      </c>
      <c r="B14" s="30" t="inlineStr">
        <is>
          <t>Assign one score block per partner if you want speed (e.g. Partner A scores Feminine + Trend + Aesthetic Fit, Partner B scores Easy to Style + Lightweight + Reels/Photo, Partner C scores Giftability + Price Fit + Demand + Quality/Risk) — or all 3 score independently and average manually before finalizing. Keep the Reason column honest; it's your shared memory.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2026-06-23T00:17:00Z</dcterms:created>
  <dcterms:modified xsi:type="dcterms:W3CDTF">2026-06-23T00:17:00Z</dcterms:modified>
</cp:coreProperties>
</file>